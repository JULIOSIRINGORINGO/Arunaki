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PORAN\"/>
    </mc:Choice>
  </mc:AlternateContent>
  <xr:revisionPtr revIDLastSave="0" documentId="13_ncr:1_{BB3C169A-8CE6-443C-AB24-3B8A54F3466A}" xr6:coauthVersionLast="47" xr6:coauthVersionMax="47" xr10:uidLastSave="{00000000-0000-0000-0000-000000000000}"/>
  <bookViews>
    <workbookView xWindow="3075" yWindow="2235" windowWidth="15135" windowHeight="8130" xr2:uid="{187E9C58-AAF1-4014-80A6-9EB77E10BFE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" l="1"/>
  <c r="C75" i="1"/>
  <c r="C74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B46" i="1"/>
  <c r="AD46" i="1" s="1"/>
  <c r="AE46" i="1" s="1"/>
  <c r="AF46" i="1" s="1"/>
  <c r="AG46" i="1" s="1"/>
  <c r="W46" i="1"/>
  <c r="X46" i="1" s="1"/>
  <c r="Y46" i="1" s="1"/>
  <c r="Z46" i="1" s="1"/>
  <c r="AA46" i="1" s="1"/>
  <c r="Q46" i="1"/>
  <c r="R46" i="1" s="1"/>
  <c r="S46" i="1" s="1"/>
  <c r="T46" i="1" s="1"/>
  <c r="V46" i="1" s="1"/>
  <c r="N46" i="1"/>
  <c r="O46" i="1" s="1"/>
  <c r="C46" i="1"/>
  <c r="D46" i="1" s="1"/>
  <c r="E46" i="1" s="1"/>
  <c r="F46" i="1" s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H41" i="1" s="1"/>
  <c r="AH37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C72" i="1" s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H5" i="1" s="1"/>
  <c r="G15" i="1"/>
  <c r="F15" i="1"/>
  <c r="E15" i="1"/>
  <c r="E5" i="1" s="1"/>
  <c r="D15" i="1"/>
  <c r="D5" i="1" s="1"/>
  <c r="C15" i="1"/>
  <c r="AG5" i="1"/>
  <c r="AF5" i="1"/>
  <c r="AE5" i="1"/>
  <c r="AD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G5" i="1"/>
  <c r="F5" i="1"/>
  <c r="AH23" i="1" l="1"/>
  <c r="C73" i="1"/>
  <c r="AH47" i="1"/>
  <c r="G46" i="1"/>
  <c r="H46" i="1"/>
  <c r="I46" i="1" s="1"/>
  <c r="J46" i="1" s="1"/>
  <c r="K46" i="1" s="1"/>
  <c r="L46" i="1" s="1"/>
  <c r="AH15" i="1"/>
  <c r="C5" i="1"/>
  <c r="AH5" i="1" l="1"/>
  <c r="C71" i="1"/>
</calcChain>
</file>

<file path=xl/sharedStrings.xml><?xml version="1.0" encoding="utf-8"?>
<sst xmlns="http://schemas.openxmlformats.org/spreadsheetml/2006/main" count="109" uniqueCount="101">
  <si>
    <t>PEMASUKAN</t>
  </si>
  <si>
    <t xml:space="preserve">TOTAL PEMASUKAN </t>
  </si>
  <si>
    <t>TOTAL TF BRI</t>
  </si>
  <si>
    <t>TOTAL TF BNI</t>
  </si>
  <si>
    <t>TOTAL TF BCA</t>
  </si>
  <si>
    <t>TOTAL TF MANDIRI</t>
  </si>
  <si>
    <t>TOTAL TF CASH</t>
  </si>
  <si>
    <t>TOKPED</t>
  </si>
  <si>
    <t>SHOOPE</t>
  </si>
  <si>
    <t>PENGELUARAN</t>
  </si>
  <si>
    <t>GALON</t>
  </si>
  <si>
    <t>BENSIN</t>
  </si>
  <si>
    <t>BUS</t>
  </si>
  <si>
    <t>BERAS</t>
  </si>
  <si>
    <t>GULA</t>
  </si>
  <si>
    <t>MIYAK GORENG</t>
  </si>
  <si>
    <t>MATERAI</t>
  </si>
  <si>
    <t xml:space="preserve">JNT </t>
  </si>
  <si>
    <t>BUBUK</t>
  </si>
  <si>
    <t>SUNLIGHT</t>
  </si>
  <si>
    <t xml:space="preserve">INDOMIE </t>
  </si>
  <si>
    <t>DLL</t>
  </si>
  <si>
    <t>BELANJA KE BEN</t>
  </si>
  <si>
    <t>LABURA</t>
  </si>
  <si>
    <t>DTF(CM)</t>
  </si>
  <si>
    <t>BAJU(PCS)</t>
  </si>
  <si>
    <t>MEDAN</t>
  </si>
  <si>
    <t>DTF (CM)</t>
  </si>
  <si>
    <t>BAJU (PCS)</t>
  </si>
  <si>
    <t>DTF RESLLER (CM)</t>
  </si>
  <si>
    <t>TOTAL DTF(CM)</t>
  </si>
  <si>
    <t>SISA DEPOSIT</t>
  </si>
  <si>
    <t>SELISIH OMSET</t>
  </si>
  <si>
    <t>SISA PEMBAYARAN</t>
  </si>
  <si>
    <t>TOTAL</t>
  </si>
  <si>
    <t>PIUTANG</t>
  </si>
  <si>
    <t xml:space="preserve">GRUP TOTALAN </t>
  </si>
  <si>
    <t>PEMSUKAN</t>
  </si>
  <si>
    <t>BELUM BAYAR</t>
  </si>
  <si>
    <t>UTILITY</t>
  </si>
  <si>
    <t xml:space="preserve">TOTAL </t>
  </si>
  <si>
    <t>CK TARUTUNG = 3.800RB(BCA) [ 50PCS ]</t>
  </si>
  <si>
    <t>CK VIVI = 5.203RB(BCA) [ DTF ]</t>
  </si>
  <si>
    <t>CK VIVI = 1.075RB(BCA) [DTF ]</t>
  </si>
  <si>
    <t>CK MARIA = 168RB(BCA) [ 3 PCS [</t>
  </si>
  <si>
    <t>CK FAUZAN = 1.009RB(BCA) [ 24 PCS ]</t>
  </si>
  <si>
    <t>CK VIVI = 344RB(BCA) [ DTF ]</t>
  </si>
  <si>
    <t>CK RIZAL = 87RB(BNI) [ 1PCS ]</t>
  </si>
  <si>
    <t>CK NAJAH PRINTING = 40RB(BRI) [ DTF ]</t>
  </si>
  <si>
    <t>CK MASA REKLAME = 128RB(CASH) [ DTF ]</t>
  </si>
  <si>
    <t>CK 10273 A = 114RB(MANDIRI) [ 2PCS ]</t>
  </si>
  <si>
    <t>CK TOKPED =  256RB(TOKPED) [ 6 PCS ]</t>
  </si>
  <si>
    <t>CK ASNIDA = 250RB(BCA) [ 6 PCS ]</t>
  </si>
  <si>
    <t>CK IBU REUNI = 1.000RB(BCA) [ DP ]</t>
  </si>
  <si>
    <t>CK 10712 A = 1080RB(BNI)[ PELUNASAN + TAMBAHAN 3 ]</t>
  </si>
  <si>
    <t>CK FAUZAN = 738RB(BCA) [ 11PCS + DTF ]</t>
  </si>
  <si>
    <t>CK PAK ARNOL = 3.032RB(BRI) [ 43PCS ]</t>
  </si>
  <si>
    <t>CK VIVI = 688RB(BCA) [ DTF ]</t>
  </si>
  <si>
    <t>CK JUANDA = 921RB(BRI) [18PCS + DTF ]</t>
  </si>
  <si>
    <t>CK TARUTUNG = 80RB(BCA) [ 1 PCS ]</t>
  </si>
  <si>
    <t>CK NAJA PRINTING = 25RB(BRI) [ DTF ]</t>
  </si>
  <si>
    <t>CK FAUZAN = 705RB(BCA) [ 14PCS + DTF ]</t>
  </si>
  <si>
    <t>CK ARFAIN = 520RB(BCA) [ DTF ]</t>
  </si>
  <si>
    <t>CK RIZAL = 174RB(BNI) [ 3 PCS ]</t>
  </si>
  <si>
    <t>CK GINTING = 4.100RB(BRI) [ 119 PCS ]</t>
  </si>
  <si>
    <t>CK BG DAVID = 270RB(MANDIRI) [PELUNASAN]</t>
  </si>
  <si>
    <t>CK VIVI = 602RB(BCA) [ DTF ]</t>
  </si>
  <si>
    <t>CK FARISI = 320RB(BCA) [ 4 PCS ]</t>
  </si>
  <si>
    <t>CK FAUZAN SIBLOGA = 4.041(BCA) [108PCS ]</t>
  </si>
  <si>
    <t>CK 10712 A = 960RB(BNI) [ PELUNASAN ]</t>
  </si>
  <si>
    <t>CK FAUZAN = 291RB(BCA) [ 4PCS ]</t>
  </si>
  <si>
    <t>CK ARFAIN = 295RB(BCA) [ DTF ]</t>
  </si>
  <si>
    <t>CK BG ARIEL = 2.035RB(BCA) [ PELUNASAN ]</t>
  </si>
  <si>
    <t>CK NAJA PRINTING = 409RB(BCA) [ 8 PCS + DTF ]</t>
  </si>
  <si>
    <t>CK 10101 = 222RB(CAH) [ PELUNASAN ]</t>
  </si>
  <si>
    <t>CK AGUSTINO = 223RB(BRI) [ 5PCS ]</t>
  </si>
  <si>
    <t>CK SHOOPE = 79RB(SHOOPE) [ 2PCS ]</t>
  </si>
  <si>
    <t>CK BEST STIKRE = 208RB(BCA) [ 4PCS ]</t>
  </si>
  <si>
    <t>CK GINTING =2.016RB(BRI) [ PELUNASAN ]</t>
  </si>
  <si>
    <t>CK 10712A = 900RB(BNI) [ 32 PCS ]</t>
  </si>
  <si>
    <t>CK ASNIDA = 180RB(BCA) [ PELUNASAN ]</t>
  </si>
  <si>
    <t>OWEN = 70RB(BNI) [PELUNASAN ]</t>
  </si>
  <si>
    <t>CK WENDI = 130RB(BNI) [ 2 PCS ]</t>
  </si>
  <si>
    <t>SHOOPE = 92RB(SHOOPE) [ 2 PCS ]</t>
  </si>
  <si>
    <t>CK RIENT = 130RB(BCA) [ PELUNASAN ]</t>
  </si>
  <si>
    <t>CK RONI  = 1.135RB(BRI) [ 20PCS ]</t>
  </si>
  <si>
    <t>CK MASA REKLAME = 22RB(CASH) [ PELUNASAN ]</t>
  </si>
  <si>
    <t>CK HENNY = 2.071RB(BNI) [ 27PCS ]</t>
  </si>
  <si>
    <t>TOKOPEDIA = 139RB (TOKPED) [ 3 PCS ]</t>
  </si>
  <si>
    <t>CK RIZQI = 1.005RB(BNI) [ 15PCS ]</t>
  </si>
  <si>
    <t>CK RZ = 174RB(BCA) [ 2PCS ]</t>
  </si>
  <si>
    <t xml:space="preserve">TOKPED = 202RB(TOKPED) [ 4 PCS </t>
  </si>
  <si>
    <t>CK GINTING = 3.300RB(BRI) [ 81PCS ]</t>
  </si>
  <si>
    <t>CK TWINDA = 1.305RB(BRI) [ PELUNASAN ]</t>
  </si>
  <si>
    <t>CK 10101 = 50RB(BRI) [ 1 PCS ]</t>
  </si>
  <si>
    <t>CK IVAN = 350RB(BRI) [ 4 PCS ]</t>
  </si>
  <si>
    <t>CK 2748 A = 72RB(MANDIRI) [ 1 PCS ]</t>
  </si>
  <si>
    <t xml:space="preserve"> </t>
  </si>
  <si>
    <t>CK DHANI = 310RB(BCA) [ 5 PCS ]</t>
  </si>
  <si>
    <t>CK CANTIK MANIS = 800RB(BCA) [ 10PCS ]</t>
  </si>
  <si>
    <t xml:space="preserve">          REKAPAN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</si>
</sst>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-&quot;Rp&quot;* #,##0.000_-;\-&quot;Rp&quot;* #,##0.000_-;_-&quot;Rp&quot;* &quot;-&quot;_-;_-@_-"/>
    <numFmt numFmtId="165" formatCode="_-&quot;Rp&quot;* #,##0.000_-;\-&quot;Rp&quot;* #,##0.000_-;_-&quot;Rp&quot;* &quot;-&quot;?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ontserrat SemiBold"/>
    </font>
    <font>
      <sz val="18"/>
      <name val="Montserrat Black"/>
    </font>
    <font>
      <sz val="10"/>
      <color theme="1"/>
      <name val="Montserrat SemiBold"/>
    </font>
    <font>
      <sz val="12"/>
      <name val="Montserrat SemiBold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6AEAA"/>
        <bgColor indexed="64"/>
      </patternFill>
    </fill>
    <fill>
      <patternFill patternType="solid">
        <fgColor rgb="FF4AFC68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14" fontId="2" fillId="3" borderId="1" xfId="0" applyNumberFormat="1" applyFont="1" applyFill="1" applyBorder="1"/>
    <xf numFmtId="14" fontId="2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4" xfId="1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 wrapText="1"/>
    </xf>
    <xf numFmtId="164" fontId="2" fillId="5" borderId="4" xfId="1" applyNumberFormat="1" applyFont="1" applyFill="1" applyBorder="1" applyAlignment="1">
      <alignment vertical="center" wrapText="1"/>
    </xf>
    <xf numFmtId="164" fontId="2" fillId="5" borderId="5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164" fontId="2" fillId="5" borderId="7" xfId="1" applyNumberFormat="1" applyFont="1" applyFill="1" applyBorder="1" applyAlignment="1">
      <alignment vertical="center" wrapText="1"/>
    </xf>
    <xf numFmtId="164" fontId="2" fillId="5" borderId="7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64" fontId="2" fillId="5" borderId="1" xfId="1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 wrapText="1"/>
    </xf>
    <xf numFmtId="164" fontId="2" fillId="5" borderId="2" xfId="1" applyNumberFormat="1" applyFont="1" applyFill="1" applyBorder="1" applyAlignment="1">
      <alignment vertical="center" wrapText="1"/>
    </xf>
    <xf numFmtId="164" fontId="2" fillId="5" borderId="6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164" fontId="2" fillId="6" borderId="7" xfId="1" applyNumberFormat="1" applyFont="1" applyFill="1" applyBorder="1" applyAlignment="1">
      <alignment horizontal="center" vertical="center"/>
    </xf>
    <xf numFmtId="164" fontId="2" fillId="6" borderId="7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1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164" fontId="2" fillId="6" borderId="2" xfId="1" applyNumberFormat="1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164" fontId="2" fillId="7" borderId="4" xfId="1" applyNumberFormat="1" applyFont="1" applyFill="1" applyBorder="1"/>
    <xf numFmtId="164" fontId="2" fillId="7" borderId="5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center" vertical="center"/>
    </xf>
    <xf numFmtId="164" fontId="2" fillId="8" borderId="7" xfId="1" applyNumberFormat="1" applyFont="1" applyFill="1" applyBorder="1" applyAlignment="1">
      <alignment horizontal="center" vertical="center"/>
    </xf>
    <xf numFmtId="164" fontId="2" fillId="8" borderId="7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" fontId="2" fillId="8" borderId="7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165" fontId="5" fillId="9" borderId="1" xfId="0" applyNumberFormat="1" applyFont="1" applyFill="1" applyBorder="1" applyAlignment="1">
      <alignment horizontal="center" vertical="center"/>
    </xf>
    <xf numFmtId="164" fontId="2" fillId="9" borderId="7" xfId="1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1" fontId="2" fillId="9" borderId="7" xfId="1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3" fontId="5" fillId="9" borderId="2" xfId="0" applyNumberFormat="1" applyFont="1" applyFill="1" applyBorder="1" applyAlignment="1">
      <alignment horizontal="center" vertical="center"/>
    </xf>
    <xf numFmtId="1" fontId="2" fillId="9" borderId="6" xfId="1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left" vertical="center"/>
    </xf>
    <xf numFmtId="0" fontId="5" fillId="10" borderId="4" xfId="0" applyFont="1" applyFill="1" applyBorder="1" applyAlignment="1">
      <alignment horizontal="center" vertical="center"/>
    </xf>
    <xf numFmtId="1" fontId="5" fillId="10" borderId="5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left" vertical="center"/>
    </xf>
    <xf numFmtId="0" fontId="2" fillId="11" borderId="4" xfId="0" applyFont="1" applyFill="1" applyBorder="1" applyAlignment="1">
      <alignment horizontal="center" vertical="center"/>
    </xf>
    <xf numFmtId="164" fontId="2" fillId="11" borderId="4" xfId="1" applyNumberFormat="1" applyFont="1" applyFill="1" applyBorder="1" applyAlignment="1">
      <alignment horizontal="center" vertical="center"/>
    </xf>
    <xf numFmtId="165" fontId="2" fillId="11" borderId="4" xfId="0" applyNumberFormat="1" applyFont="1" applyFill="1" applyBorder="1" applyAlignment="1">
      <alignment horizontal="center" vertical="center"/>
    </xf>
    <xf numFmtId="164" fontId="2" fillId="11" borderId="5" xfId="0" applyNumberFormat="1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left" vertical="center"/>
    </xf>
    <xf numFmtId="165" fontId="2" fillId="12" borderId="4" xfId="0" applyNumberFormat="1" applyFont="1" applyFill="1" applyBorder="1" applyAlignment="1">
      <alignment horizontal="center" vertical="center"/>
    </xf>
    <xf numFmtId="165" fontId="2" fillId="12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4" fontId="2" fillId="0" borderId="4" xfId="0" applyNumberFormat="1" applyFont="1" applyBorder="1"/>
    <xf numFmtId="14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/>
    <xf numFmtId="0" fontId="2" fillId="0" borderId="1" xfId="0" applyFont="1" applyBorder="1" applyAlignment="1">
      <alignment horizontal="left" vertical="center"/>
    </xf>
    <xf numFmtId="164" fontId="2" fillId="0" borderId="1" xfId="1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12" borderId="3" xfId="0" applyFont="1" applyFill="1" applyBorder="1" applyAlignment="1">
      <alignment horizontal="left" vertical="center" wrapText="1"/>
    </xf>
    <xf numFmtId="0" fontId="2" fillId="12" borderId="5" xfId="0" applyFont="1" applyFill="1" applyBorder="1"/>
    <xf numFmtId="164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4" fontId="2" fillId="0" borderId="1" xfId="1" applyNumberFormat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2" fontId="2" fillId="12" borderId="5" xfId="1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2" fillId="7" borderId="4" xfId="0" applyNumberFormat="1" applyFont="1" applyFill="1" applyBorder="1"/>
    <xf numFmtId="0" fontId="2" fillId="7" borderId="4" xfId="0" applyFont="1" applyFill="1" applyBorder="1"/>
    <xf numFmtId="42" fontId="2" fillId="7" borderId="4" xfId="1" applyFont="1" applyFill="1" applyBorder="1"/>
    <xf numFmtId="3" fontId="2" fillId="8" borderId="7" xfId="0" applyNumberFormat="1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3" fontId="2" fillId="11" borderId="4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/>
    <xf numFmtId="0" fontId="2" fillId="3" borderId="1" xfId="0" applyFont="1" applyFill="1" applyBorder="1"/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Montserrat Black" pitchFamily="2" charset="0"/>
              </a:rPr>
              <a:t>GRUP</a:t>
            </a:r>
            <a:r>
              <a:rPr lang="en-US" baseline="0">
                <a:solidFill>
                  <a:schemeClr val="tx1"/>
                </a:solidFill>
                <a:latin typeface="Montserrat Black" pitchFamily="2" charset="0"/>
              </a:rPr>
              <a:t> TOTALAN</a:t>
            </a:r>
            <a:endParaRPr lang="en-US">
              <a:solidFill>
                <a:schemeClr val="tx1"/>
              </a:solidFill>
              <a:latin typeface="Montserrat Black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[1]JULI!$B$71:$B$75</c:f>
              <c:strCache>
                <c:ptCount val="5"/>
                <c:pt idx="0">
                  <c:v>PEMSUKAN</c:v>
                </c:pt>
                <c:pt idx="1">
                  <c:v>PENGELUARAN</c:v>
                </c:pt>
                <c:pt idx="2">
                  <c:v>SELISIH OMSET</c:v>
                </c:pt>
                <c:pt idx="3">
                  <c:v>LABURA</c:v>
                </c:pt>
                <c:pt idx="4">
                  <c:v>BELANJA KE BEN</c:v>
                </c:pt>
              </c:strCache>
            </c:strRef>
          </c:cat>
          <c:val>
            <c:numRef>
              <c:f>[1]JULI!$C$71:$C$75</c:f>
              <c:numCache>
                <c:formatCode>General</c:formatCode>
                <c:ptCount val="5"/>
                <c:pt idx="0">
                  <c:v>49945</c:v>
                </c:pt>
                <c:pt idx="1">
                  <c:v>1912</c:v>
                </c:pt>
                <c:pt idx="2">
                  <c:v>13021</c:v>
                </c:pt>
                <c:pt idx="3">
                  <c:v>26222</c:v>
                </c:pt>
                <c:pt idx="4">
                  <c:v>58375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F-4681-AE64-539B87FDE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5719392"/>
        <c:axId val="1885719808"/>
        <c:axId val="0"/>
      </c:bar3DChart>
      <c:catAx>
        <c:axId val="188571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Montserrat Black" pitchFamily="2" charset="0"/>
                <a:ea typeface="+mn-ea"/>
                <a:cs typeface="+mn-cs"/>
              </a:defRPr>
            </a:pPr>
            <a:endParaRPr lang="en-US"/>
          </a:p>
        </c:txPr>
        <c:crossAx val="1885719808"/>
        <c:crosses val="autoZero"/>
        <c:auto val="1"/>
        <c:lblAlgn val="ctr"/>
        <c:lblOffset val="100"/>
        <c:noMultiLvlLbl val="0"/>
      </c:catAx>
      <c:valAx>
        <c:axId val="188571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1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69</xdr:row>
      <xdr:rowOff>0</xdr:rowOff>
    </xdr:from>
    <xdr:to>
      <xdr:col>7</xdr:col>
      <xdr:colOff>1476375</xdr:colOff>
      <xdr:row>78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C3CB6B-5C60-4BA4-8E99-DF0FC65AF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ACKUP%20DATA/TABEL%20REKAPAN%20NEW2026-.xlsm" TargetMode="External"/><Relationship Id="rId2" Type="http://schemas.openxmlformats.org/officeDocument/2006/relationships/externalLinkPath" Target="file:///E:\BACKUP%20DATA\TABEL%20REKAPAN%20NEW2026-.xlsm" TargetMode="External"/><Relationship Id="rId1" Type="http://schemas.openxmlformats.org/officeDocument/2006/relationships/externalLinkPath" Target="/BACKUP%20DATA/TABEL%20REKAPAN%20NEW2026-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VEMBER"/>
      <sheetName val="DESEMBER"/>
    </sheetNames>
    <sheetDataSet>
      <sheetData sheetId="0">
        <row r="71">
          <cell r="B71" t="str">
            <v>PEMSUKAN</v>
          </cell>
        </row>
      </sheetData>
      <sheetData sheetId="1"/>
      <sheetData sheetId="2"/>
      <sheetData sheetId="3"/>
      <sheetData sheetId="4"/>
      <sheetData sheetId="5"/>
      <sheetData sheetId="6">
        <row r="71">
          <cell r="B71" t="str">
            <v>PEMSUKAN</v>
          </cell>
          <cell r="C71">
            <v>49945</v>
          </cell>
        </row>
        <row r="72">
          <cell r="B72" t="str">
            <v>PENGELUARAN</v>
          </cell>
          <cell r="C72">
            <v>1912</v>
          </cell>
        </row>
        <row r="73">
          <cell r="B73" t="str">
            <v>SELISIH OMSET</v>
          </cell>
          <cell r="C73">
            <v>13021</v>
          </cell>
        </row>
        <row r="74">
          <cell r="B74" t="str">
            <v>LABURA</v>
          </cell>
          <cell r="C74">
            <v>26222</v>
          </cell>
        </row>
        <row r="75">
          <cell r="B75" t="str">
            <v>BELANJA KE BEN</v>
          </cell>
          <cell r="C75">
            <v>58375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BC69-3CEB-4F57-8D56-B1A7F45A73B8}">
  <dimension ref="A2:AH83"/>
  <sheetViews>
    <sheetView tabSelected="1" topLeftCell="AB1" workbookViewId="0">
      <selection activeCell="AC5" sqref="AC5"/>
    </sheetView>
  </sheetViews>
  <sheetFormatPr defaultColWidth="32.5703125" defaultRowHeight="18.75" x14ac:dyDescent="0.35"/>
  <cols>
    <col min="1" max="1" width="32.5703125" style="1"/>
    <col min="2" max="2" width="32.5703125" style="68"/>
    <col min="3" max="33" width="32.5703125" style="1"/>
    <col min="34" max="34" width="32.5703125" style="69"/>
    <col min="35" max="16384" width="32.5703125" style="1"/>
  </cols>
  <sheetData>
    <row r="2" spans="1:34" ht="18.75" customHeight="1" x14ac:dyDescent="0.35">
      <c r="B2" s="106" t="s">
        <v>100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</row>
    <row r="3" spans="1:34" ht="18.75" customHeight="1" x14ac:dyDescent="0.35">
      <c r="A3" s="2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</row>
    <row r="4" spans="1:34" ht="19.5" thickBot="1" x14ac:dyDescent="0.4">
      <c r="A4" s="3"/>
      <c r="B4" s="91"/>
      <c r="C4" s="4">
        <v>45839</v>
      </c>
      <c r="D4" s="4">
        <v>45840</v>
      </c>
      <c r="E4" s="4">
        <v>45841</v>
      </c>
      <c r="F4" s="4">
        <v>45842</v>
      </c>
      <c r="G4" s="4">
        <v>45843</v>
      </c>
      <c r="H4" s="4">
        <v>45844</v>
      </c>
      <c r="I4" s="4">
        <v>45845</v>
      </c>
      <c r="J4" s="4">
        <v>45846</v>
      </c>
      <c r="K4" s="4">
        <v>45847</v>
      </c>
      <c r="L4" s="4">
        <v>45848</v>
      </c>
      <c r="M4" s="4">
        <v>45849</v>
      </c>
      <c r="N4" s="4">
        <v>45850</v>
      </c>
      <c r="O4" s="4">
        <v>45851</v>
      </c>
      <c r="P4" s="4">
        <v>45852</v>
      </c>
      <c r="Q4" s="4">
        <v>45853</v>
      </c>
      <c r="R4" s="4">
        <v>45854</v>
      </c>
      <c r="S4" s="4">
        <v>45855</v>
      </c>
      <c r="T4" s="4">
        <v>45856</v>
      </c>
      <c r="U4" s="4">
        <v>45857</v>
      </c>
      <c r="V4" s="4">
        <v>45858</v>
      </c>
      <c r="W4" s="4">
        <v>45859</v>
      </c>
      <c r="X4" s="4">
        <v>45860</v>
      </c>
      <c r="Y4" s="4">
        <v>45861</v>
      </c>
      <c r="Z4" s="4">
        <v>45862</v>
      </c>
      <c r="AA4" s="4">
        <v>45863</v>
      </c>
      <c r="AB4" s="4">
        <v>45864</v>
      </c>
      <c r="AC4" s="4">
        <v>45865</v>
      </c>
      <c r="AD4" s="4">
        <v>45866</v>
      </c>
      <c r="AE4" s="4">
        <v>45867</v>
      </c>
      <c r="AF4" s="4">
        <v>45868</v>
      </c>
      <c r="AG4" s="4">
        <v>45869</v>
      </c>
      <c r="AH4" s="5" t="s">
        <v>40</v>
      </c>
    </row>
    <row r="5" spans="1:34" ht="19.5" thickBot="1" x14ac:dyDescent="0.4">
      <c r="B5" s="6" t="s">
        <v>0</v>
      </c>
      <c r="C5" s="7">
        <f>C15</f>
        <v>8191</v>
      </c>
      <c r="D5" s="7">
        <f t="shared" ref="D5:AG5" si="0">D15</f>
        <v>6877</v>
      </c>
      <c r="E5" s="7">
        <f t="shared" si="0"/>
        <v>1100</v>
      </c>
      <c r="F5" s="7">
        <f t="shared" si="0"/>
        <v>1777</v>
      </c>
      <c r="G5" s="7">
        <f t="shared" si="0"/>
        <v>0</v>
      </c>
      <c r="H5" s="7">
        <f t="shared" si="0"/>
        <v>4695</v>
      </c>
      <c r="I5" s="7">
        <f t="shared" si="0"/>
        <v>518</v>
      </c>
      <c r="J5" s="7">
        <f t="shared" si="0"/>
        <v>4405</v>
      </c>
      <c r="K5" s="7">
        <f t="shared" si="0"/>
        <v>1523</v>
      </c>
      <c r="L5" s="7">
        <f t="shared" si="0"/>
        <v>128</v>
      </c>
      <c r="M5" s="7">
        <f t="shared" si="0"/>
        <v>2732</v>
      </c>
      <c r="N5" s="7">
        <f t="shared" si="0"/>
        <v>0</v>
      </c>
      <c r="O5" s="7">
        <f t="shared" si="0"/>
        <v>256</v>
      </c>
      <c r="P5" s="7">
        <f t="shared" si="0"/>
        <v>250</v>
      </c>
      <c r="Q5" s="7">
        <f t="shared" si="0"/>
        <v>2220</v>
      </c>
      <c r="R5" s="7">
        <f t="shared" si="0"/>
        <v>5475</v>
      </c>
      <c r="S5" s="7">
        <f t="shared" si="0"/>
        <v>1970</v>
      </c>
      <c r="T5" s="7">
        <f t="shared" si="0"/>
        <v>6753</v>
      </c>
      <c r="U5" s="7">
        <f t="shared" si="0"/>
        <v>0</v>
      </c>
      <c r="V5" s="7">
        <f t="shared" si="0"/>
        <v>1075</v>
      </c>
      <c r="W5" s="7">
        <f t="shared" si="0"/>
        <v>0</v>
      </c>
      <c r="X5" s="7">
        <f t="shared" si="0"/>
        <v>0</v>
      </c>
      <c r="Y5" s="7">
        <f t="shared" si="0"/>
        <v>0</v>
      </c>
      <c r="Z5" s="7">
        <f t="shared" si="0"/>
        <v>0</v>
      </c>
      <c r="AA5" s="7">
        <f t="shared" si="0"/>
        <v>0</v>
      </c>
      <c r="AB5" s="7">
        <f t="shared" si="0"/>
        <v>0</v>
      </c>
      <c r="AC5" s="7">
        <f>AC15</f>
        <v>0</v>
      </c>
      <c r="AD5" s="7">
        <f t="shared" si="0"/>
        <v>0</v>
      </c>
      <c r="AE5" s="7">
        <f t="shared" si="0"/>
        <v>0</v>
      </c>
      <c r="AF5" s="7">
        <f t="shared" si="0"/>
        <v>0</v>
      </c>
      <c r="AG5" s="7">
        <f t="shared" si="0"/>
        <v>0</v>
      </c>
      <c r="AH5" s="8">
        <f>SUM(C5:AG5)</f>
        <v>49945</v>
      </c>
    </row>
    <row r="6" spans="1:34" ht="19.5" hidden="1" thickBot="1" x14ac:dyDescent="0.4">
      <c r="B6" s="107"/>
      <c r="C6" s="9" t="s">
        <v>41</v>
      </c>
      <c r="D6" s="9" t="s">
        <v>42</v>
      </c>
      <c r="E6" s="9" t="s">
        <v>43</v>
      </c>
      <c r="F6" s="9" t="s">
        <v>44</v>
      </c>
      <c r="G6" s="9"/>
      <c r="H6" s="9" t="s">
        <v>45</v>
      </c>
      <c r="I6" s="9" t="s">
        <v>46</v>
      </c>
      <c r="J6" s="9" t="s">
        <v>47</v>
      </c>
      <c r="K6" s="9" t="s">
        <v>48</v>
      </c>
      <c r="L6" s="9" t="s">
        <v>49</v>
      </c>
      <c r="M6" s="9" t="s">
        <v>50</v>
      </c>
      <c r="N6" s="9"/>
      <c r="O6" s="9" t="s">
        <v>51</v>
      </c>
      <c r="P6" s="9" t="s">
        <v>52</v>
      </c>
      <c r="Q6" s="9" t="s">
        <v>53</v>
      </c>
      <c r="R6" s="9" t="s">
        <v>54</v>
      </c>
      <c r="S6" s="9" t="s">
        <v>55</v>
      </c>
      <c r="T6" s="9" t="s">
        <v>56</v>
      </c>
      <c r="U6" s="9"/>
      <c r="V6" s="9" t="s">
        <v>57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8"/>
    </row>
    <row r="7" spans="1:34" ht="19.5" hidden="1" thickBot="1" x14ac:dyDescent="0.4">
      <c r="B7" s="107"/>
      <c r="C7" s="10" t="s">
        <v>58</v>
      </c>
      <c r="D7" s="10" t="s">
        <v>59</v>
      </c>
      <c r="E7" s="10" t="s">
        <v>60</v>
      </c>
      <c r="F7" s="10" t="s">
        <v>61</v>
      </c>
      <c r="G7" s="10"/>
      <c r="H7" s="10" t="s">
        <v>62</v>
      </c>
      <c r="I7" s="10" t="s">
        <v>63</v>
      </c>
      <c r="J7" s="10" t="s">
        <v>64</v>
      </c>
      <c r="K7" s="10" t="s">
        <v>65</v>
      </c>
      <c r="L7" s="10"/>
      <c r="M7" s="10" t="s">
        <v>66</v>
      </c>
      <c r="N7" s="10"/>
      <c r="O7" s="10"/>
      <c r="P7" s="10"/>
      <c r="Q7" s="10" t="s">
        <v>67</v>
      </c>
      <c r="R7" s="10" t="s">
        <v>68</v>
      </c>
      <c r="S7" s="10" t="s">
        <v>69</v>
      </c>
      <c r="T7" s="10" t="s">
        <v>70</v>
      </c>
      <c r="U7" s="10"/>
      <c r="V7" s="10" t="s">
        <v>71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8"/>
    </row>
    <row r="8" spans="1:34" ht="19.5" hidden="1" thickBot="1" x14ac:dyDescent="0.4">
      <c r="B8" s="107"/>
      <c r="C8" s="10" t="s">
        <v>72</v>
      </c>
      <c r="D8" s="10" t="s">
        <v>73</v>
      </c>
      <c r="E8" s="10"/>
      <c r="F8" s="10" t="s">
        <v>74</v>
      </c>
      <c r="G8" s="10"/>
      <c r="H8" s="10" t="s">
        <v>75</v>
      </c>
      <c r="I8" s="10"/>
      <c r="J8" s="10" t="s">
        <v>76</v>
      </c>
      <c r="K8" s="10" t="s">
        <v>77</v>
      </c>
      <c r="L8" s="10"/>
      <c r="M8" s="10" t="s">
        <v>78</v>
      </c>
      <c r="N8" s="10"/>
      <c r="O8" s="10"/>
      <c r="P8" s="10"/>
      <c r="Q8" s="10" t="s">
        <v>79</v>
      </c>
      <c r="R8" s="10" t="s">
        <v>80</v>
      </c>
      <c r="S8" s="10" t="s">
        <v>81</v>
      </c>
      <c r="T8" s="10" t="s">
        <v>82</v>
      </c>
      <c r="U8" s="10"/>
      <c r="V8" s="10" t="s">
        <v>83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8"/>
    </row>
    <row r="9" spans="1:34" ht="19.5" hidden="1" thickBot="1" x14ac:dyDescent="0.4">
      <c r="B9" s="107"/>
      <c r="C9" s="10" t="s">
        <v>84</v>
      </c>
      <c r="D9" s="10" t="s">
        <v>85</v>
      </c>
      <c r="E9" s="10"/>
      <c r="F9" s="10" t="s">
        <v>86</v>
      </c>
      <c r="G9" s="10"/>
      <c r="H9" s="10" t="s">
        <v>87</v>
      </c>
      <c r="I9" s="10"/>
      <c r="J9" s="10" t="s">
        <v>88</v>
      </c>
      <c r="K9" s="10" t="s">
        <v>89</v>
      </c>
      <c r="L9" s="10"/>
      <c r="M9" s="10"/>
      <c r="N9" s="10"/>
      <c r="O9" s="10"/>
      <c r="P9" s="10"/>
      <c r="Q9" s="10"/>
      <c r="R9" s="10" t="s">
        <v>90</v>
      </c>
      <c r="S9" s="10" t="s">
        <v>91</v>
      </c>
      <c r="T9" s="10" t="s">
        <v>92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8"/>
    </row>
    <row r="10" spans="1:34" ht="19.5" hidden="1" thickBot="1" x14ac:dyDescent="0.4">
      <c r="B10" s="107"/>
      <c r="C10" s="10" t="s">
        <v>93</v>
      </c>
      <c r="D10" s="10" t="s">
        <v>94</v>
      </c>
      <c r="E10" s="10"/>
      <c r="F10" s="10" t="s">
        <v>95</v>
      </c>
      <c r="G10" s="10"/>
      <c r="H10" s="10" t="s">
        <v>96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97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8"/>
    </row>
    <row r="11" spans="1:34" ht="19.5" hidden="1" thickBot="1" x14ac:dyDescent="0.4">
      <c r="B11" s="107"/>
      <c r="C11" s="10"/>
      <c r="D11" s="10"/>
      <c r="E11" s="10"/>
      <c r="F11" s="10" t="s">
        <v>98</v>
      </c>
      <c r="G11" s="10"/>
      <c r="H11" s="10" t="s">
        <v>99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8"/>
    </row>
    <row r="12" spans="1:34" ht="19.5" hidden="1" thickBot="1" x14ac:dyDescent="0.4">
      <c r="B12" s="10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8"/>
    </row>
    <row r="13" spans="1:34" ht="19.5" hidden="1" thickBot="1" x14ac:dyDescent="0.4">
      <c r="B13" s="107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8"/>
    </row>
    <row r="14" spans="1:34" ht="19.5" hidden="1" thickBot="1" x14ac:dyDescent="0.4">
      <c r="B14" s="10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08"/>
    </row>
    <row r="15" spans="1:34" ht="19.5" thickBot="1" x14ac:dyDescent="0.4">
      <c r="B15" s="12" t="s">
        <v>1</v>
      </c>
      <c r="C15" s="13">
        <f>SUM(C16:C22)</f>
        <v>8191</v>
      </c>
      <c r="D15" s="13">
        <f t="shared" ref="D15:AG15" si="1">SUM(D16:D22)</f>
        <v>6877</v>
      </c>
      <c r="E15" s="13">
        <f t="shared" si="1"/>
        <v>1100</v>
      </c>
      <c r="F15" s="13">
        <f t="shared" si="1"/>
        <v>1777</v>
      </c>
      <c r="G15" s="13">
        <f t="shared" si="1"/>
        <v>0</v>
      </c>
      <c r="H15" s="13">
        <f t="shared" si="1"/>
        <v>4695</v>
      </c>
      <c r="I15" s="13">
        <f t="shared" si="1"/>
        <v>518</v>
      </c>
      <c r="J15" s="13">
        <f t="shared" si="1"/>
        <v>4405</v>
      </c>
      <c r="K15" s="13">
        <f t="shared" si="1"/>
        <v>1523</v>
      </c>
      <c r="L15" s="13">
        <f t="shared" si="1"/>
        <v>128</v>
      </c>
      <c r="M15" s="13">
        <f t="shared" si="1"/>
        <v>2732</v>
      </c>
      <c r="N15" s="13">
        <f t="shared" si="1"/>
        <v>0</v>
      </c>
      <c r="O15" s="13">
        <f t="shared" si="1"/>
        <v>256</v>
      </c>
      <c r="P15" s="13">
        <f t="shared" si="1"/>
        <v>250</v>
      </c>
      <c r="Q15" s="13">
        <f t="shared" si="1"/>
        <v>2220</v>
      </c>
      <c r="R15" s="13">
        <f t="shared" si="1"/>
        <v>5475</v>
      </c>
      <c r="S15" s="13">
        <f t="shared" si="1"/>
        <v>1970</v>
      </c>
      <c r="T15" s="13">
        <f t="shared" si="1"/>
        <v>6753</v>
      </c>
      <c r="U15" s="13">
        <f t="shared" si="1"/>
        <v>0</v>
      </c>
      <c r="V15" s="13">
        <f t="shared" si="1"/>
        <v>1075</v>
      </c>
      <c r="W15" s="13">
        <f t="shared" si="1"/>
        <v>0</v>
      </c>
      <c r="X15" s="13">
        <f t="shared" si="1"/>
        <v>0</v>
      </c>
      <c r="Y15" s="13">
        <f t="shared" si="1"/>
        <v>0</v>
      </c>
      <c r="Z15" s="13">
        <f t="shared" si="1"/>
        <v>0</v>
      </c>
      <c r="AA15" s="13">
        <f t="shared" si="1"/>
        <v>0</v>
      </c>
      <c r="AB15" s="13">
        <f t="shared" si="1"/>
        <v>0</v>
      </c>
      <c r="AC15" s="13">
        <f t="shared" si="1"/>
        <v>0</v>
      </c>
      <c r="AD15" s="13">
        <f t="shared" si="1"/>
        <v>0</v>
      </c>
      <c r="AE15" s="13">
        <f t="shared" si="1"/>
        <v>0</v>
      </c>
      <c r="AF15" s="13">
        <f t="shared" si="1"/>
        <v>0</v>
      </c>
      <c r="AG15" s="13">
        <f t="shared" si="1"/>
        <v>0</v>
      </c>
      <c r="AH15" s="14">
        <f>SUM(C15:AG15)</f>
        <v>49945</v>
      </c>
    </row>
    <row r="16" spans="1:34" ht="19.5" hidden="1" thickBot="1" x14ac:dyDescent="0.4">
      <c r="B16" s="15" t="s">
        <v>2</v>
      </c>
      <c r="C16" s="16">
        <v>2226</v>
      </c>
      <c r="D16" s="16">
        <v>1185</v>
      </c>
      <c r="E16" s="16">
        <v>25</v>
      </c>
      <c r="F16" s="16">
        <v>350</v>
      </c>
      <c r="G16" s="16"/>
      <c r="H16" s="16">
        <v>223</v>
      </c>
      <c r="I16" s="16"/>
      <c r="J16" s="16">
        <v>4100</v>
      </c>
      <c r="K16" s="16">
        <v>40</v>
      </c>
      <c r="L16" s="16"/>
      <c r="M16" s="16">
        <v>2016</v>
      </c>
      <c r="N16" s="16"/>
      <c r="O16" s="16"/>
      <c r="P16" s="16"/>
      <c r="Q16" s="16"/>
      <c r="R16" s="16"/>
      <c r="S16" s="16"/>
      <c r="T16" s="16">
        <v>6332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7"/>
    </row>
    <row r="17" spans="2:34" ht="19.5" hidden="1" thickBot="1" x14ac:dyDescent="0.4">
      <c r="B17" s="18" t="s">
        <v>3</v>
      </c>
      <c r="C17" s="19"/>
      <c r="D17" s="19"/>
      <c r="E17" s="19"/>
      <c r="F17" s="19"/>
      <c r="G17" s="19"/>
      <c r="H17" s="19">
        <v>2071</v>
      </c>
      <c r="I17" s="19">
        <v>174</v>
      </c>
      <c r="J17" s="19">
        <v>87</v>
      </c>
      <c r="K17" s="19">
        <v>1005</v>
      </c>
      <c r="L17" s="19"/>
      <c r="M17" s="19"/>
      <c r="N17" s="19"/>
      <c r="O17" s="19"/>
      <c r="P17" s="19"/>
      <c r="Q17" s="19">
        <v>900</v>
      </c>
      <c r="R17" s="19">
        <v>1080</v>
      </c>
      <c r="S17" s="19">
        <v>1030</v>
      </c>
      <c r="T17" s="19">
        <v>130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7"/>
    </row>
    <row r="18" spans="2:34" ht="19.5" hidden="1" thickBot="1" x14ac:dyDescent="0.4">
      <c r="B18" s="18" t="s">
        <v>4</v>
      </c>
      <c r="C18" s="19">
        <v>5965</v>
      </c>
      <c r="D18" s="19">
        <v>5692</v>
      </c>
      <c r="E18" s="19">
        <v>1075</v>
      </c>
      <c r="F18" s="19">
        <v>1183</v>
      </c>
      <c r="G18" s="19"/>
      <c r="H18" s="19">
        <v>2329</v>
      </c>
      <c r="I18" s="19">
        <v>344</v>
      </c>
      <c r="J18" s="19"/>
      <c r="K18" s="19">
        <v>208</v>
      </c>
      <c r="L18" s="19"/>
      <c r="M18" s="19">
        <v>602</v>
      </c>
      <c r="N18" s="19"/>
      <c r="O18" s="19"/>
      <c r="P18" s="19">
        <v>250</v>
      </c>
      <c r="Q18" s="19">
        <v>1320</v>
      </c>
      <c r="R18" s="19">
        <v>4395</v>
      </c>
      <c r="S18" s="19">
        <v>738</v>
      </c>
      <c r="T18" s="19">
        <v>291</v>
      </c>
      <c r="U18" s="19"/>
      <c r="V18" s="19">
        <v>983</v>
      </c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7"/>
    </row>
    <row r="19" spans="2:34" ht="19.5" hidden="1" thickBot="1" x14ac:dyDescent="0.4">
      <c r="B19" s="18" t="s">
        <v>5</v>
      </c>
      <c r="C19" s="19"/>
      <c r="D19" s="19"/>
      <c r="E19" s="19"/>
      <c r="F19" s="19"/>
      <c r="G19" s="19"/>
      <c r="H19" s="19">
        <v>72</v>
      </c>
      <c r="I19" s="19"/>
      <c r="J19" s="19"/>
      <c r="K19" s="19">
        <v>270</v>
      </c>
      <c r="L19" s="19"/>
      <c r="M19" s="19">
        <v>114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7"/>
    </row>
    <row r="20" spans="2:34" ht="19.5" hidden="1" thickBot="1" x14ac:dyDescent="0.4">
      <c r="B20" s="18" t="s">
        <v>6</v>
      </c>
      <c r="C20" s="19"/>
      <c r="D20" s="19"/>
      <c r="E20" s="19"/>
      <c r="F20" s="19">
        <v>244</v>
      </c>
      <c r="G20" s="19"/>
      <c r="H20" s="19"/>
      <c r="I20" s="19"/>
      <c r="J20" s="19"/>
      <c r="K20" s="19"/>
      <c r="L20" s="19">
        <v>128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7"/>
    </row>
    <row r="21" spans="2:34" ht="19.5" hidden="1" thickBot="1" x14ac:dyDescent="0.4">
      <c r="B21" s="18" t="s">
        <v>7</v>
      </c>
      <c r="C21" s="19"/>
      <c r="D21" s="19"/>
      <c r="E21" s="19"/>
      <c r="F21" s="19"/>
      <c r="G21" s="19"/>
      <c r="H21" s="19"/>
      <c r="I21" s="19"/>
      <c r="J21" s="19">
        <v>139</v>
      </c>
      <c r="K21" s="19"/>
      <c r="L21" s="19"/>
      <c r="M21" s="19"/>
      <c r="N21" s="19"/>
      <c r="O21" s="19">
        <v>256</v>
      </c>
      <c r="P21" s="19"/>
      <c r="Q21" s="19"/>
      <c r="R21" s="19"/>
      <c r="S21" s="19">
        <v>202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7"/>
    </row>
    <row r="22" spans="2:34" ht="19.5" hidden="1" thickBot="1" x14ac:dyDescent="0.4">
      <c r="B22" s="20" t="s">
        <v>8</v>
      </c>
      <c r="C22" s="21"/>
      <c r="D22" s="21"/>
      <c r="E22" s="21"/>
      <c r="F22" s="21"/>
      <c r="G22" s="21"/>
      <c r="H22" s="21"/>
      <c r="I22" s="21"/>
      <c r="J22" s="21">
        <v>79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>
        <v>92</v>
      </c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2"/>
    </row>
    <row r="23" spans="2:34" ht="19.5" thickBot="1" x14ac:dyDescent="0.4">
      <c r="B23" s="23" t="s">
        <v>9</v>
      </c>
      <c r="C23" s="24">
        <f>SUM(C24:C36)</f>
        <v>90</v>
      </c>
      <c r="D23" s="24">
        <f t="shared" ref="D23:AG23" si="2">SUM(D24:D36)</f>
        <v>0</v>
      </c>
      <c r="E23" s="24">
        <f t="shared" si="2"/>
        <v>110</v>
      </c>
      <c r="F23" s="24">
        <f t="shared" si="2"/>
        <v>10</v>
      </c>
      <c r="G23" s="24">
        <f t="shared" si="2"/>
        <v>0</v>
      </c>
      <c r="H23" s="24">
        <f t="shared" si="2"/>
        <v>90</v>
      </c>
      <c r="I23" s="24">
        <f t="shared" si="2"/>
        <v>150</v>
      </c>
      <c r="J23" s="24">
        <f t="shared" si="2"/>
        <v>8</v>
      </c>
      <c r="K23" s="24">
        <f t="shared" si="2"/>
        <v>289</v>
      </c>
      <c r="L23" s="24">
        <f t="shared" si="2"/>
        <v>176</v>
      </c>
      <c r="M23" s="24">
        <f t="shared" si="2"/>
        <v>55</v>
      </c>
      <c r="N23" s="24">
        <f t="shared" si="2"/>
        <v>0</v>
      </c>
      <c r="O23" s="24">
        <f t="shared" si="2"/>
        <v>6</v>
      </c>
      <c r="P23" s="24">
        <f t="shared" si="2"/>
        <v>110</v>
      </c>
      <c r="Q23" s="24">
        <f t="shared" si="2"/>
        <v>56</v>
      </c>
      <c r="R23" s="24">
        <f t="shared" si="2"/>
        <v>198</v>
      </c>
      <c r="S23" s="24">
        <f t="shared" si="2"/>
        <v>529</v>
      </c>
      <c r="T23" s="24">
        <f t="shared" si="2"/>
        <v>0</v>
      </c>
      <c r="U23" s="24">
        <f t="shared" si="2"/>
        <v>0</v>
      </c>
      <c r="V23" s="24">
        <f t="shared" si="2"/>
        <v>35</v>
      </c>
      <c r="W23" s="24">
        <f t="shared" si="2"/>
        <v>0</v>
      </c>
      <c r="X23" s="24">
        <f t="shared" si="2"/>
        <v>0</v>
      </c>
      <c r="Y23" s="24">
        <f t="shared" si="2"/>
        <v>0</v>
      </c>
      <c r="Z23" s="24">
        <f t="shared" si="2"/>
        <v>0</v>
      </c>
      <c r="AA23" s="24">
        <f t="shared" si="2"/>
        <v>0</v>
      </c>
      <c r="AB23" s="24">
        <f t="shared" si="2"/>
        <v>0</v>
      </c>
      <c r="AC23" s="24">
        <f t="shared" si="2"/>
        <v>0</v>
      </c>
      <c r="AD23" s="24">
        <f t="shared" si="2"/>
        <v>0</v>
      </c>
      <c r="AE23" s="24">
        <f t="shared" si="2"/>
        <v>0</v>
      </c>
      <c r="AF23" s="24">
        <f t="shared" si="2"/>
        <v>0</v>
      </c>
      <c r="AG23" s="24">
        <f t="shared" si="2"/>
        <v>0</v>
      </c>
      <c r="AH23" s="25">
        <f>SUM(C23:AG23)</f>
        <v>1912</v>
      </c>
    </row>
    <row r="24" spans="2:34" ht="19.5" hidden="1" thickBot="1" x14ac:dyDescent="0.4">
      <c r="B24" s="26" t="s">
        <v>10</v>
      </c>
      <c r="C24" s="27"/>
      <c r="D24" s="27"/>
      <c r="E24" s="27"/>
      <c r="F24" s="27"/>
      <c r="G24" s="27"/>
      <c r="H24" s="27"/>
      <c r="I24" s="27"/>
      <c r="J24" s="27">
        <v>6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8"/>
    </row>
    <row r="25" spans="2:34" ht="19.5" hidden="1" thickBot="1" x14ac:dyDescent="0.4">
      <c r="B25" s="29" t="s">
        <v>11</v>
      </c>
      <c r="C25" s="30"/>
      <c r="D25" s="30"/>
      <c r="E25" s="30"/>
      <c r="F25" s="30"/>
      <c r="G25" s="30"/>
      <c r="H25" s="30">
        <v>13</v>
      </c>
      <c r="I25" s="30"/>
      <c r="J25" s="30">
        <v>2</v>
      </c>
      <c r="K25" s="30">
        <v>74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28"/>
    </row>
    <row r="26" spans="2:34" ht="19.5" hidden="1" thickBot="1" x14ac:dyDescent="0.4">
      <c r="B26" s="29" t="s">
        <v>12</v>
      </c>
      <c r="C26" s="30"/>
      <c r="D26" s="30"/>
      <c r="E26" s="30"/>
      <c r="F26" s="30"/>
      <c r="G26" s="30"/>
      <c r="H26" s="30">
        <v>6</v>
      </c>
      <c r="I26" s="30">
        <v>115</v>
      </c>
      <c r="J26" s="30"/>
      <c r="K26" s="30">
        <v>165</v>
      </c>
      <c r="L26" s="30"/>
      <c r="M26" s="30"/>
      <c r="N26" s="30"/>
      <c r="O26" s="30"/>
      <c r="P26" s="30"/>
      <c r="Q26" s="30"/>
      <c r="R26" s="30"/>
      <c r="S26" s="30">
        <v>60</v>
      </c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28"/>
    </row>
    <row r="27" spans="2:34" ht="19.5" hidden="1" thickBot="1" x14ac:dyDescent="0.4">
      <c r="B27" s="29" t="s">
        <v>13</v>
      </c>
      <c r="C27" s="30">
        <v>50</v>
      </c>
      <c r="D27" s="30"/>
      <c r="E27" s="30"/>
      <c r="F27" s="30"/>
      <c r="G27" s="30"/>
      <c r="H27" s="30">
        <v>50</v>
      </c>
      <c r="I27" s="30">
        <v>35</v>
      </c>
      <c r="J27" s="30"/>
      <c r="K27" s="30">
        <v>50</v>
      </c>
      <c r="L27" s="30"/>
      <c r="M27" s="30"/>
      <c r="N27" s="30"/>
      <c r="O27" s="30">
        <v>6</v>
      </c>
      <c r="P27" s="30">
        <v>50</v>
      </c>
      <c r="Q27" s="30">
        <v>50</v>
      </c>
      <c r="R27" s="30">
        <v>198</v>
      </c>
      <c r="S27" s="30">
        <v>100</v>
      </c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28"/>
    </row>
    <row r="28" spans="2:34" ht="19.5" hidden="1" thickBot="1" x14ac:dyDescent="0.4">
      <c r="B28" s="29" t="s">
        <v>14</v>
      </c>
      <c r="C28" s="30">
        <v>40</v>
      </c>
      <c r="D28" s="30"/>
      <c r="E28" s="30"/>
      <c r="F28" s="30"/>
      <c r="G28" s="30"/>
      <c r="H28" s="30">
        <v>21</v>
      </c>
      <c r="I28" s="30"/>
      <c r="J28" s="30"/>
      <c r="K28" s="30"/>
      <c r="L28" s="30">
        <v>6</v>
      </c>
      <c r="M28" s="30">
        <v>50</v>
      </c>
      <c r="N28" s="30"/>
      <c r="O28" s="30"/>
      <c r="P28" s="30">
        <v>35</v>
      </c>
      <c r="Q28" s="30">
        <v>6</v>
      </c>
      <c r="R28" s="30"/>
      <c r="S28" s="30">
        <v>165</v>
      </c>
      <c r="T28" s="30"/>
      <c r="U28" s="30"/>
      <c r="V28" s="30">
        <v>2</v>
      </c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28"/>
    </row>
    <row r="29" spans="2:34" ht="19.5" hidden="1" thickBot="1" x14ac:dyDescent="0.4">
      <c r="B29" s="29" t="s">
        <v>15</v>
      </c>
      <c r="C29" s="30"/>
      <c r="D29" s="30"/>
      <c r="E29" s="30"/>
      <c r="F29" s="30"/>
      <c r="G29" s="30"/>
      <c r="H29" s="30"/>
      <c r="I29" s="30"/>
      <c r="J29" s="30"/>
      <c r="K29" s="30"/>
      <c r="L29" s="30">
        <v>50</v>
      </c>
      <c r="M29" s="30">
        <v>5</v>
      </c>
      <c r="N29" s="30"/>
      <c r="O29" s="30"/>
      <c r="P29" s="30">
        <v>25</v>
      </c>
      <c r="Q29" s="30"/>
      <c r="R29" s="30"/>
      <c r="S29" s="30">
        <v>6</v>
      </c>
      <c r="T29" s="30"/>
      <c r="U29" s="30"/>
      <c r="V29" s="30">
        <v>6</v>
      </c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28"/>
    </row>
    <row r="30" spans="2:34" ht="19.5" hidden="1" thickBot="1" x14ac:dyDescent="0.4">
      <c r="B30" s="29" t="s">
        <v>16</v>
      </c>
      <c r="C30" s="30"/>
      <c r="D30" s="30"/>
      <c r="E30" s="30"/>
      <c r="F30" s="30"/>
      <c r="G30" s="30"/>
      <c r="H30" s="30"/>
      <c r="I30" s="30"/>
      <c r="J30" s="30"/>
      <c r="K30" s="30"/>
      <c r="L30" s="30">
        <v>120</v>
      </c>
      <c r="M30" s="30"/>
      <c r="N30" s="30"/>
      <c r="O30" s="30"/>
      <c r="P30" s="30"/>
      <c r="Q30" s="30"/>
      <c r="R30" s="30"/>
      <c r="S30" s="30"/>
      <c r="T30" s="30"/>
      <c r="U30" s="30"/>
      <c r="V30" s="30">
        <v>2</v>
      </c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28"/>
    </row>
    <row r="31" spans="2:34" ht="19.5" hidden="1" thickBot="1" x14ac:dyDescent="0.4">
      <c r="B31" s="29" t="s">
        <v>17</v>
      </c>
      <c r="C31" s="30"/>
      <c r="D31" s="30"/>
      <c r="E31" s="30"/>
      <c r="F31" s="30">
        <v>10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>
        <v>25</v>
      </c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28"/>
    </row>
    <row r="32" spans="2:34" ht="19.5" hidden="1" thickBot="1" x14ac:dyDescent="0.4">
      <c r="B32" s="29" t="s">
        <v>18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>
        <v>198</v>
      </c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28"/>
    </row>
    <row r="33" spans="2:34" ht="19.5" hidden="1" thickBot="1" x14ac:dyDescent="0.4">
      <c r="B33" s="29" t="s">
        <v>19</v>
      </c>
      <c r="C33" s="30"/>
      <c r="D33" s="30"/>
      <c r="E33" s="30">
        <v>6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8"/>
    </row>
    <row r="34" spans="2:34" ht="19.5" hidden="1" thickBot="1" x14ac:dyDescent="0.4">
      <c r="B34" s="29" t="s">
        <v>20</v>
      </c>
      <c r="C34" s="30"/>
      <c r="D34" s="30"/>
      <c r="E34" s="30">
        <v>50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8"/>
    </row>
    <row r="35" spans="2:34" ht="19.5" hidden="1" thickBot="1" x14ac:dyDescent="0.4">
      <c r="B35" s="29" t="s">
        <v>21</v>
      </c>
      <c r="C35" s="30"/>
      <c r="D35" s="30"/>
      <c r="E35" s="30">
        <v>54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8"/>
    </row>
    <row r="36" spans="2:34" ht="19.5" hidden="1" thickBot="1" x14ac:dyDescent="0.4"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3"/>
    </row>
    <row r="37" spans="2:34" ht="19.5" thickBot="1" x14ac:dyDescent="0.4">
      <c r="B37" s="34" t="s">
        <v>22</v>
      </c>
      <c r="C37" s="35">
        <v>5281</v>
      </c>
      <c r="D37" s="92">
        <v>1729</v>
      </c>
      <c r="E37" s="92">
        <v>6720</v>
      </c>
      <c r="F37" s="92">
        <v>1331</v>
      </c>
      <c r="G37" s="92"/>
      <c r="H37" s="93">
        <v>2168</v>
      </c>
      <c r="I37" s="92">
        <v>2804</v>
      </c>
      <c r="J37" s="93">
        <v>299</v>
      </c>
      <c r="K37" s="92">
        <v>6537</v>
      </c>
      <c r="L37" s="92">
        <v>564</v>
      </c>
      <c r="M37" s="92">
        <v>697</v>
      </c>
      <c r="N37" s="93"/>
      <c r="O37" s="93">
        <v>210</v>
      </c>
      <c r="P37" s="92">
        <v>4161</v>
      </c>
      <c r="Q37" s="92">
        <v>1711</v>
      </c>
      <c r="R37" s="92">
        <v>19798</v>
      </c>
      <c r="S37" s="92">
        <v>1419</v>
      </c>
      <c r="T37" s="92">
        <v>2204</v>
      </c>
      <c r="U37" s="93"/>
      <c r="V37" s="94">
        <v>742</v>
      </c>
      <c r="W37" s="35"/>
      <c r="X37" s="93"/>
      <c r="Y37" s="92"/>
      <c r="Z37" s="92"/>
      <c r="AA37" s="92"/>
      <c r="AB37" s="92"/>
      <c r="AC37" s="35"/>
      <c r="AD37" s="35"/>
      <c r="AE37" s="35"/>
      <c r="AF37" s="35"/>
      <c r="AG37" s="35"/>
      <c r="AH37" s="36">
        <f>SUM(C37:AG37)</f>
        <v>58375</v>
      </c>
    </row>
    <row r="38" spans="2:34" ht="19.5" hidden="1" thickBot="1" x14ac:dyDescent="0.4">
      <c r="B38" s="37" t="s">
        <v>23</v>
      </c>
      <c r="C38" s="95">
        <v>2390</v>
      </c>
      <c r="D38" s="38">
        <v>85</v>
      </c>
      <c r="E38" s="95">
        <v>1783</v>
      </c>
      <c r="F38" s="38">
        <v>0</v>
      </c>
      <c r="G38" s="95"/>
      <c r="H38" s="38">
        <v>0</v>
      </c>
      <c r="I38" s="38">
        <v>455</v>
      </c>
      <c r="J38" s="38">
        <v>0</v>
      </c>
      <c r="K38" s="95">
        <v>772</v>
      </c>
      <c r="L38" s="38">
        <v>363</v>
      </c>
      <c r="M38" s="38">
        <v>65</v>
      </c>
      <c r="N38" s="38"/>
      <c r="O38" s="38"/>
      <c r="P38" s="95">
        <v>3832</v>
      </c>
      <c r="Q38" s="95">
        <v>114</v>
      </c>
      <c r="R38" s="38">
        <v>15679</v>
      </c>
      <c r="S38" s="95">
        <v>602</v>
      </c>
      <c r="T38" s="38">
        <v>82</v>
      </c>
      <c r="U38" s="38"/>
      <c r="V38" s="38">
        <v>0</v>
      </c>
      <c r="W38" s="38"/>
      <c r="X38" s="38"/>
      <c r="Y38" s="38"/>
      <c r="Z38" s="95"/>
      <c r="AA38" s="38"/>
      <c r="AB38" s="38"/>
      <c r="AC38" s="39"/>
      <c r="AD38" s="39"/>
      <c r="AE38" s="39"/>
      <c r="AF38" s="39"/>
      <c r="AG38" s="39"/>
      <c r="AH38" s="40"/>
    </row>
    <row r="39" spans="2:34" ht="19.5" hidden="1" thickBot="1" x14ac:dyDescent="0.4">
      <c r="B39" s="41" t="s">
        <v>24</v>
      </c>
      <c r="C39" s="42">
        <v>542</v>
      </c>
      <c r="D39" s="42">
        <v>23</v>
      </c>
      <c r="E39" s="42">
        <v>235</v>
      </c>
      <c r="F39" s="42">
        <v>0</v>
      </c>
      <c r="G39" s="42"/>
      <c r="H39" s="42">
        <v>0</v>
      </c>
      <c r="I39" s="42">
        <v>91</v>
      </c>
      <c r="J39" s="42">
        <v>0</v>
      </c>
      <c r="K39" s="42">
        <v>603</v>
      </c>
      <c r="L39" s="42">
        <v>116</v>
      </c>
      <c r="M39" s="42">
        <v>23</v>
      </c>
      <c r="N39" s="42"/>
      <c r="O39" s="42"/>
      <c r="P39" s="96">
        <v>1061</v>
      </c>
      <c r="Q39" s="42">
        <v>15</v>
      </c>
      <c r="R39" s="42">
        <v>48</v>
      </c>
      <c r="S39" s="42">
        <v>118</v>
      </c>
      <c r="T39" s="42">
        <v>24</v>
      </c>
      <c r="U39" s="42"/>
      <c r="V39" s="42">
        <v>0</v>
      </c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3"/>
    </row>
    <row r="40" spans="2:34" ht="19.5" hidden="1" thickBot="1" x14ac:dyDescent="0.4">
      <c r="B40" s="41" t="s">
        <v>25</v>
      </c>
      <c r="C40" s="42">
        <v>39</v>
      </c>
      <c r="D40" s="42">
        <v>2</v>
      </c>
      <c r="E40" s="42">
        <v>55</v>
      </c>
      <c r="F40" s="42">
        <v>0</v>
      </c>
      <c r="G40" s="42"/>
      <c r="H40" s="42">
        <v>0</v>
      </c>
      <c r="I40" s="42">
        <v>12</v>
      </c>
      <c r="J40" s="42">
        <v>0</v>
      </c>
      <c r="K40" s="42">
        <v>18</v>
      </c>
      <c r="L40" s="42">
        <v>8</v>
      </c>
      <c r="M40" s="42">
        <v>1</v>
      </c>
      <c r="N40" s="42"/>
      <c r="O40" s="42"/>
      <c r="P40" s="42">
        <v>82</v>
      </c>
      <c r="Q40" s="42">
        <v>2</v>
      </c>
      <c r="R40" s="42">
        <v>298</v>
      </c>
      <c r="S40" s="42">
        <v>9</v>
      </c>
      <c r="T40" s="42">
        <v>1</v>
      </c>
      <c r="U40" s="42"/>
      <c r="V40" s="42">
        <v>0</v>
      </c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0"/>
    </row>
    <row r="41" spans="2:34" ht="19.5" hidden="1" thickBot="1" x14ac:dyDescent="0.4">
      <c r="B41" s="44" t="s">
        <v>26</v>
      </c>
      <c r="C41" s="45">
        <f>SUM(C37-C38)</f>
        <v>2891</v>
      </c>
      <c r="D41" s="45">
        <f t="shared" ref="D41:AG41" si="3">SUM(D37-D38)</f>
        <v>1644</v>
      </c>
      <c r="E41" s="45">
        <f t="shared" si="3"/>
        <v>4937</v>
      </c>
      <c r="F41" s="45">
        <f t="shared" si="3"/>
        <v>1331</v>
      </c>
      <c r="G41" s="45">
        <f t="shared" si="3"/>
        <v>0</v>
      </c>
      <c r="H41" s="45">
        <f t="shared" si="3"/>
        <v>2168</v>
      </c>
      <c r="I41" s="45">
        <f t="shared" si="3"/>
        <v>2349</v>
      </c>
      <c r="J41" s="45">
        <f t="shared" si="3"/>
        <v>299</v>
      </c>
      <c r="K41" s="45">
        <f t="shared" si="3"/>
        <v>5765</v>
      </c>
      <c r="L41" s="45">
        <f t="shared" si="3"/>
        <v>201</v>
      </c>
      <c r="M41" s="45">
        <f t="shared" si="3"/>
        <v>632</v>
      </c>
      <c r="N41" s="45">
        <f t="shared" si="3"/>
        <v>0</v>
      </c>
      <c r="O41" s="45">
        <f t="shared" si="3"/>
        <v>210</v>
      </c>
      <c r="P41" s="45">
        <f t="shared" si="3"/>
        <v>329</v>
      </c>
      <c r="Q41" s="45">
        <f t="shared" si="3"/>
        <v>1597</v>
      </c>
      <c r="R41" s="45">
        <f t="shared" si="3"/>
        <v>4119</v>
      </c>
      <c r="S41" s="45">
        <f t="shared" si="3"/>
        <v>817</v>
      </c>
      <c r="T41" s="45">
        <f>SUM(T37-T38)</f>
        <v>2122</v>
      </c>
      <c r="U41" s="45">
        <f t="shared" si="3"/>
        <v>0</v>
      </c>
      <c r="V41" s="45">
        <f t="shared" si="3"/>
        <v>742</v>
      </c>
      <c r="W41" s="45">
        <f t="shared" si="3"/>
        <v>0</v>
      </c>
      <c r="X41" s="45">
        <f t="shared" si="3"/>
        <v>0</v>
      </c>
      <c r="Y41" s="45">
        <f t="shared" si="3"/>
        <v>0</v>
      </c>
      <c r="Z41" s="45">
        <f t="shared" si="3"/>
        <v>0</v>
      </c>
      <c r="AA41" s="45">
        <f t="shared" si="3"/>
        <v>0</v>
      </c>
      <c r="AB41" s="45">
        <f t="shared" si="3"/>
        <v>0</v>
      </c>
      <c r="AC41" s="45">
        <f t="shared" si="3"/>
        <v>0</v>
      </c>
      <c r="AD41" s="45">
        <f t="shared" si="3"/>
        <v>0</v>
      </c>
      <c r="AE41" s="45">
        <f t="shared" si="3"/>
        <v>0</v>
      </c>
      <c r="AF41" s="45">
        <f t="shared" si="3"/>
        <v>0</v>
      </c>
      <c r="AG41" s="45">
        <f t="shared" si="3"/>
        <v>0</v>
      </c>
      <c r="AH41" s="46">
        <f>SUM(C41:AG41)</f>
        <v>32153</v>
      </c>
    </row>
    <row r="42" spans="2:34" ht="19.5" hidden="1" thickBot="1" x14ac:dyDescent="0.4">
      <c r="B42" s="44" t="s">
        <v>27</v>
      </c>
      <c r="C42" s="47">
        <v>687</v>
      </c>
      <c r="D42" s="47">
        <v>235</v>
      </c>
      <c r="E42" s="47">
        <v>67</v>
      </c>
      <c r="F42" s="47">
        <v>436</v>
      </c>
      <c r="G42" s="47"/>
      <c r="H42" s="47">
        <v>0</v>
      </c>
      <c r="I42" s="47">
        <v>2030</v>
      </c>
      <c r="J42" s="47">
        <v>84</v>
      </c>
      <c r="K42" s="47">
        <v>321</v>
      </c>
      <c r="L42" s="47"/>
      <c r="M42" s="47">
        <v>0</v>
      </c>
      <c r="N42" s="47"/>
      <c r="O42" s="47"/>
      <c r="P42" s="47">
        <v>134</v>
      </c>
      <c r="Q42" s="47">
        <v>906</v>
      </c>
      <c r="R42" s="47">
        <v>135</v>
      </c>
      <c r="S42" s="48">
        <v>0</v>
      </c>
      <c r="T42" s="47">
        <v>47</v>
      </c>
      <c r="U42" s="47"/>
      <c r="V42" s="47">
        <v>102</v>
      </c>
      <c r="W42" s="47"/>
      <c r="X42" s="47"/>
      <c r="Y42" s="48"/>
      <c r="Z42" s="47"/>
      <c r="AA42" s="47"/>
      <c r="AB42" s="47"/>
      <c r="AC42" s="48"/>
      <c r="AD42" s="47"/>
      <c r="AE42" s="47"/>
      <c r="AF42" s="47"/>
      <c r="AG42" s="47"/>
      <c r="AH42" s="49"/>
    </row>
    <row r="43" spans="2:34" ht="18" hidden="1" customHeight="1" x14ac:dyDescent="0.35">
      <c r="B43" s="50" t="s">
        <v>28</v>
      </c>
      <c r="C43" s="51">
        <v>68</v>
      </c>
      <c r="D43" s="51">
        <v>19</v>
      </c>
      <c r="E43" s="51">
        <v>1</v>
      </c>
      <c r="F43" s="51">
        <v>31</v>
      </c>
      <c r="G43" s="51"/>
      <c r="H43" s="51">
        <v>59</v>
      </c>
      <c r="I43" s="51">
        <v>38</v>
      </c>
      <c r="J43" s="51">
        <v>8</v>
      </c>
      <c r="K43" s="51">
        <v>148</v>
      </c>
      <c r="L43" s="51">
        <v>2</v>
      </c>
      <c r="M43" s="51">
        <v>3</v>
      </c>
      <c r="N43" s="51"/>
      <c r="O43" s="51">
        <v>6</v>
      </c>
      <c r="P43" s="51">
        <v>6</v>
      </c>
      <c r="Q43" s="51">
        <v>36</v>
      </c>
      <c r="R43" s="51">
        <v>7</v>
      </c>
      <c r="S43" s="52">
        <v>15</v>
      </c>
      <c r="T43" s="51">
        <v>806</v>
      </c>
      <c r="U43" s="51"/>
      <c r="V43" s="51">
        <v>4</v>
      </c>
      <c r="W43" s="51"/>
      <c r="X43" s="51"/>
      <c r="Y43" s="51"/>
      <c r="Z43" s="51"/>
      <c r="AA43" s="51"/>
      <c r="AB43" s="52"/>
      <c r="AC43" s="51"/>
      <c r="AD43" s="51"/>
      <c r="AE43" s="51"/>
      <c r="AF43" s="51"/>
      <c r="AG43" s="51"/>
      <c r="AH43" s="53"/>
    </row>
    <row r="44" spans="2:34" ht="19.5" hidden="1" thickBot="1" x14ac:dyDescent="0.4">
      <c r="B44" s="54" t="s">
        <v>29</v>
      </c>
      <c r="C44" s="55">
        <v>321</v>
      </c>
      <c r="D44" s="55">
        <v>158</v>
      </c>
      <c r="E44" s="55">
        <v>14600</v>
      </c>
      <c r="F44" s="55">
        <v>300</v>
      </c>
      <c r="G44" s="55"/>
      <c r="H44" s="55">
        <v>0</v>
      </c>
      <c r="I44" s="55"/>
      <c r="J44" s="55"/>
      <c r="K44" s="55"/>
      <c r="L44" s="55">
        <v>320</v>
      </c>
      <c r="M44" s="55">
        <v>1400</v>
      </c>
      <c r="N44" s="55"/>
      <c r="O44" s="55"/>
      <c r="P44" s="55"/>
      <c r="Q44" s="55"/>
      <c r="R44" s="55"/>
      <c r="S44" s="55">
        <v>456</v>
      </c>
      <c r="T44" s="97"/>
      <c r="U44" s="55"/>
      <c r="V44" s="55">
        <v>966</v>
      </c>
      <c r="W44" s="97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6"/>
    </row>
    <row r="45" spans="2:34" ht="19.5" thickBot="1" x14ac:dyDescent="0.4">
      <c r="B45" s="57" t="s">
        <v>30</v>
      </c>
      <c r="C45" s="58">
        <f>C39+C42+C44</f>
        <v>1550</v>
      </c>
      <c r="D45" s="58">
        <f>D39+D42+D44</f>
        <v>416</v>
      </c>
      <c r="E45" s="58">
        <f>E39+E42+E44</f>
        <v>14902</v>
      </c>
      <c r="F45" s="58">
        <f>F39+F42+F44</f>
        <v>736</v>
      </c>
      <c r="G45" s="58">
        <f t="shared" ref="G45:AG45" si="4">G39+G42+G44</f>
        <v>0</v>
      </c>
      <c r="H45" s="58">
        <f t="shared" si="4"/>
        <v>0</v>
      </c>
      <c r="I45" s="58">
        <f t="shared" si="4"/>
        <v>2121</v>
      </c>
      <c r="J45" s="58">
        <f t="shared" si="4"/>
        <v>84</v>
      </c>
      <c r="K45" s="58">
        <f t="shared" si="4"/>
        <v>924</v>
      </c>
      <c r="L45" s="58">
        <f t="shared" si="4"/>
        <v>436</v>
      </c>
      <c r="M45" s="58">
        <f t="shared" si="4"/>
        <v>1423</v>
      </c>
      <c r="N45" s="58">
        <f t="shared" si="4"/>
        <v>0</v>
      </c>
      <c r="O45" s="58">
        <f t="shared" si="4"/>
        <v>0</v>
      </c>
      <c r="P45" s="58">
        <f t="shared" si="4"/>
        <v>1195</v>
      </c>
      <c r="Q45" s="58">
        <f t="shared" si="4"/>
        <v>921</v>
      </c>
      <c r="R45" s="58">
        <f t="shared" si="4"/>
        <v>183</v>
      </c>
      <c r="S45" s="58">
        <f t="shared" si="4"/>
        <v>574</v>
      </c>
      <c r="T45" s="58">
        <f t="shared" si="4"/>
        <v>71</v>
      </c>
      <c r="U45" s="58">
        <f t="shared" si="4"/>
        <v>0</v>
      </c>
      <c r="V45" s="58">
        <f t="shared" si="4"/>
        <v>1068</v>
      </c>
      <c r="W45" s="58">
        <f t="shared" si="4"/>
        <v>0</v>
      </c>
      <c r="X45" s="58">
        <f t="shared" si="4"/>
        <v>0</v>
      </c>
      <c r="Y45" s="58">
        <f t="shared" si="4"/>
        <v>0</v>
      </c>
      <c r="Z45" s="58">
        <f t="shared" si="4"/>
        <v>0</v>
      </c>
      <c r="AA45" s="58">
        <f t="shared" si="4"/>
        <v>0</v>
      </c>
      <c r="AB45" s="58">
        <f t="shared" si="4"/>
        <v>0</v>
      </c>
      <c r="AC45" s="58">
        <f t="shared" si="4"/>
        <v>0</v>
      </c>
      <c r="AD45" s="58">
        <f t="shared" si="4"/>
        <v>0</v>
      </c>
      <c r="AE45" s="58">
        <f t="shared" si="4"/>
        <v>0</v>
      </c>
      <c r="AF45" s="58">
        <f t="shared" si="4"/>
        <v>0</v>
      </c>
      <c r="AG45" s="58">
        <f t="shared" si="4"/>
        <v>0</v>
      </c>
      <c r="AH45" s="59"/>
    </row>
    <row r="46" spans="2:34" ht="19.5" thickBot="1" x14ac:dyDescent="0.4">
      <c r="B46" s="60" t="s">
        <v>31</v>
      </c>
      <c r="C46" s="98">
        <f>32010-C37</f>
        <v>26729</v>
      </c>
      <c r="D46" s="98">
        <f>C46-D37</f>
        <v>25000</v>
      </c>
      <c r="E46" s="98">
        <f>D46-E37</f>
        <v>18280</v>
      </c>
      <c r="F46" s="98">
        <f>E46-F37</f>
        <v>16949</v>
      </c>
      <c r="G46" s="98">
        <f>F46-G37</f>
        <v>16949</v>
      </c>
      <c r="H46" s="98">
        <f>F46-H37</f>
        <v>14781</v>
      </c>
      <c r="I46" s="98">
        <f t="shared" ref="I46:N46" si="5">H46-I37</f>
        <v>11977</v>
      </c>
      <c r="J46" s="98">
        <f t="shared" si="5"/>
        <v>11678</v>
      </c>
      <c r="K46" s="98">
        <f t="shared" si="5"/>
        <v>5141</v>
      </c>
      <c r="L46" s="98">
        <f t="shared" si="5"/>
        <v>4577</v>
      </c>
      <c r="M46" s="98">
        <v>3880</v>
      </c>
      <c r="N46" s="98">
        <f t="shared" si="5"/>
        <v>3880</v>
      </c>
      <c r="O46" s="98">
        <f>N46-O37</f>
        <v>3670</v>
      </c>
      <c r="P46" s="98">
        <v>29279</v>
      </c>
      <c r="Q46" s="98">
        <f>P46-Q37</f>
        <v>27568</v>
      </c>
      <c r="R46" s="98">
        <f>Q46-R37</f>
        <v>7770</v>
      </c>
      <c r="S46" s="98">
        <f>R46-S37</f>
        <v>6351</v>
      </c>
      <c r="T46" s="98">
        <f>S46-T37</f>
        <v>4147</v>
      </c>
      <c r="U46" s="61"/>
      <c r="V46" s="62">
        <f>T46-V37</f>
        <v>3405</v>
      </c>
      <c r="W46" s="63">
        <f>30558-W37</f>
        <v>30558</v>
      </c>
      <c r="X46" s="63">
        <f>W46-X37</f>
        <v>30558</v>
      </c>
      <c r="Y46" s="63">
        <f>X46-Y37</f>
        <v>30558</v>
      </c>
      <c r="Z46" s="63">
        <f>Y46-Z37</f>
        <v>30558</v>
      </c>
      <c r="AA46" s="63">
        <f>Z46-AA37</f>
        <v>30558</v>
      </c>
      <c r="AB46" s="63">
        <f>31001-AB37</f>
        <v>31001</v>
      </c>
      <c r="AC46" s="63"/>
      <c r="AD46" s="63">
        <f>AB46-AD37</f>
        <v>31001</v>
      </c>
      <c r="AE46" s="63">
        <f>AD46-AE37</f>
        <v>31001</v>
      </c>
      <c r="AF46" s="63">
        <f>AE46-AF37</f>
        <v>31001</v>
      </c>
      <c r="AG46" s="63">
        <f>AF46-AG37</f>
        <v>31001</v>
      </c>
      <c r="AH46" s="64"/>
    </row>
    <row r="47" spans="2:34" ht="19.5" thickBot="1" x14ac:dyDescent="0.4">
      <c r="B47" s="65" t="s">
        <v>32</v>
      </c>
      <c r="C47" s="66">
        <f t="shared" ref="C47:AG47" si="6">(C38+C81+C82+C83)-C37</f>
        <v>1835</v>
      </c>
      <c r="D47" s="66">
        <f t="shared" si="6"/>
        <v>757</v>
      </c>
      <c r="E47" s="66">
        <f t="shared" si="6"/>
        <v>1491</v>
      </c>
      <c r="F47" s="66">
        <f t="shared" si="6"/>
        <v>410</v>
      </c>
      <c r="G47" s="66">
        <f t="shared" si="6"/>
        <v>0</v>
      </c>
      <c r="H47" s="66">
        <f t="shared" si="6"/>
        <v>856</v>
      </c>
      <c r="I47" s="66">
        <f t="shared" si="6"/>
        <v>1458</v>
      </c>
      <c r="J47" s="66">
        <f t="shared" si="6"/>
        <v>180</v>
      </c>
      <c r="K47" s="66">
        <f t="shared" si="6"/>
        <v>1835</v>
      </c>
      <c r="L47" s="66">
        <f t="shared" si="6"/>
        <v>52</v>
      </c>
      <c r="M47" s="66">
        <f t="shared" si="6"/>
        <v>133</v>
      </c>
      <c r="N47" s="66">
        <f t="shared" si="6"/>
        <v>0</v>
      </c>
      <c r="O47" s="66">
        <f t="shared" si="6"/>
        <v>46</v>
      </c>
      <c r="P47" s="66">
        <f t="shared" si="6"/>
        <v>101</v>
      </c>
      <c r="Q47" s="66">
        <f t="shared" si="6"/>
        <v>1457</v>
      </c>
      <c r="R47" s="66">
        <f t="shared" si="6"/>
        <v>342</v>
      </c>
      <c r="S47" s="66">
        <f t="shared" si="6"/>
        <v>180</v>
      </c>
      <c r="T47" s="66">
        <f t="shared" si="6"/>
        <v>1257</v>
      </c>
      <c r="U47" s="66">
        <f t="shared" si="6"/>
        <v>0</v>
      </c>
      <c r="V47" s="66">
        <f t="shared" si="6"/>
        <v>631</v>
      </c>
      <c r="W47" s="66">
        <f t="shared" si="6"/>
        <v>0</v>
      </c>
      <c r="X47" s="66">
        <f t="shared" si="6"/>
        <v>0</v>
      </c>
      <c r="Y47" s="66">
        <f t="shared" si="6"/>
        <v>0</v>
      </c>
      <c r="Z47" s="66">
        <f t="shared" si="6"/>
        <v>0</v>
      </c>
      <c r="AA47" s="66">
        <f t="shared" si="6"/>
        <v>0</v>
      </c>
      <c r="AB47" s="66">
        <f t="shared" si="6"/>
        <v>0</v>
      </c>
      <c r="AC47" s="66">
        <f t="shared" si="6"/>
        <v>0</v>
      </c>
      <c r="AD47" s="66">
        <f t="shared" si="6"/>
        <v>0</v>
      </c>
      <c r="AE47" s="66">
        <f t="shared" si="6"/>
        <v>0</v>
      </c>
      <c r="AF47" s="66">
        <f t="shared" si="6"/>
        <v>0</v>
      </c>
      <c r="AG47" s="66">
        <f t="shared" si="6"/>
        <v>0</v>
      </c>
      <c r="AH47" s="67">
        <f>SUM(C47:AG47)</f>
        <v>13021</v>
      </c>
    </row>
    <row r="48" spans="2:34" ht="19.5" thickBot="1" x14ac:dyDescent="0.4"/>
    <row r="49" spans="2:34" ht="19.5" thickBot="1" x14ac:dyDescent="0.4">
      <c r="B49" s="70" t="s">
        <v>33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2" t="s">
        <v>34</v>
      </c>
    </row>
    <row r="50" spans="2:34" hidden="1" x14ac:dyDescent="0.35">
      <c r="B50" s="101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103"/>
    </row>
    <row r="51" spans="2:34" hidden="1" x14ac:dyDescent="0.35">
      <c r="B51" s="10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4"/>
    </row>
    <row r="52" spans="2:34" hidden="1" x14ac:dyDescent="0.35">
      <c r="B52" s="10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4"/>
    </row>
    <row r="53" spans="2:34" hidden="1" x14ac:dyDescent="0.35">
      <c r="B53" s="10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4"/>
    </row>
    <row r="54" spans="2:34" hidden="1" x14ac:dyDescent="0.35">
      <c r="B54" s="10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4"/>
    </row>
    <row r="55" spans="2:34" hidden="1" x14ac:dyDescent="0.35">
      <c r="B55" s="10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5"/>
    </row>
    <row r="56" spans="2:34" hidden="1" x14ac:dyDescent="0.35">
      <c r="B56" s="75" t="s">
        <v>34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6"/>
      <c r="X56" s="2"/>
      <c r="Y56" s="2"/>
      <c r="Z56" s="77"/>
      <c r="AA56" s="2"/>
      <c r="AB56" s="2"/>
      <c r="AC56" s="2"/>
      <c r="AD56" s="2"/>
      <c r="AE56" s="2"/>
      <c r="AF56" s="2"/>
      <c r="AG56" s="2"/>
      <c r="AH56" s="78"/>
    </row>
    <row r="57" spans="2:34" ht="19.5" thickBot="1" x14ac:dyDescent="0.4"/>
    <row r="58" spans="2:34" ht="19.5" thickBot="1" x14ac:dyDescent="0.4">
      <c r="B58" s="70" t="s">
        <v>35</v>
      </c>
      <c r="C58" s="109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1"/>
      <c r="AH58" s="79" t="s">
        <v>34</v>
      </c>
    </row>
    <row r="59" spans="2:34" x14ac:dyDescent="0.35">
      <c r="B59" s="101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103"/>
    </row>
    <row r="60" spans="2:34" x14ac:dyDescent="0.35">
      <c r="B60" s="10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104"/>
    </row>
    <row r="61" spans="2:34" x14ac:dyDescent="0.35">
      <c r="B61" s="10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104"/>
    </row>
    <row r="62" spans="2:34" x14ac:dyDescent="0.35">
      <c r="B62" s="10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104"/>
    </row>
    <row r="63" spans="2:34" x14ac:dyDescent="0.35">
      <c r="B63" s="10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104"/>
    </row>
    <row r="64" spans="2:34" x14ac:dyDescent="0.35">
      <c r="B64" s="10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104"/>
    </row>
    <row r="65" spans="2:34" x14ac:dyDescent="0.35">
      <c r="B65" s="10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104"/>
    </row>
    <row r="66" spans="2:34" x14ac:dyDescent="0.35">
      <c r="B66" s="10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104"/>
    </row>
    <row r="67" spans="2:34" x14ac:dyDescent="0.35">
      <c r="B67" s="10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105"/>
    </row>
    <row r="68" spans="2:34" x14ac:dyDescent="0.35">
      <c r="B68" s="75" t="s">
        <v>34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80"/>
      <c r="X68" s="78"/>
      <c r="Y68" s="78"/>
      <c r="Z68" s="81"/>
      <c r="AA68" s="78"/>
      <c r="AB68" s="78"/>
      <c r="AC68" s="78"/>
      <c r="AD68" s="78"/>
      <c r="AE68" s="78"/>
      <c r="AF68" s="81"/>
      <c r="AG68" s="78"/>
      <c r="AH68" s="78"/>
    </row>
    <row r="69" spans="2:34" ht="19.5" thickBot="1" x14ac:dyDescent="0.4"/>
    <row r="70" spans="2:34" ht="24" customHeight="1" thickBot="1" x14ac:dyDescent="0.4">
      <c r="B70" s="82" t="s">
        <v>36</v>
      </c>
      <c r="C70" s="83"/>
    </row>
    <row r="71" spans="2:34" ht="24" customHeight="1" x14ac:dyDescent="0.35">
      <c r="B71" s="73" t="s">
        <v>37</v>
      </c>
      <c r="C71" s="84">
        <f>SUM(C5:AG5)</f>
        <v>49945</v>
      </c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</row>
    <row r="72" spans="2:34" ht="24" customHeight="1" x14ac:dyDescent="0.35">
      <c r="B72" s="75" t="s">
        <v>9</v>
      </c>
      <c r="C72" s="86">
        <f>SUM(C23:AG23)</f>
        <v>1912</v>
      </c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</row>
    <row r="73" spans="2:34" ht="24" customHeight="1" x14ac:dyDescent="0.35">
      <c r="B73" s="75" t="s">
        <v>32</v>
      </c>
      <c r="C73" s="87">
        <f>SUM(C47:AG47)</f>
        <v>13021</v>
      </c>
    </row>
    <row r="74" spans="2:34" ht="24" customHeight="1" x14ac:dyDescent="0.35">
      <c r="B74" s="75" t="s">
        <v>23</v>
      </c>
      <c r="C74" s="87">
        <f>SUM(C38:AG38)</f>
        <v>26222</v>
      </c>
    </row>
    <row r="75" spans="2:34" ht="24" customHeight="1" x14ac:dyDescent="0.35">
      <c r="B75" s="75" t="s">
        <v>22</v>
      </c>
      <c r="C75" s="87">
        <f>SUM(C37:AG37)</f>
        <v>58375</v>
      </c>
    </row>
    <row r="76" spans="2:34" ht="22.5" customHeight="1" thickBot="1" x14ac:dyDescent="0.4">
      <c r="B76" s="88"/>
    </row>
    <row r="77" spans="2:34" ht="24.75" customHeight="1" thickBot="1" x14ac:dyDescent="0.4">
      <c r="B77" s="65"/>
      <c r="C77" s="89"/>
    </row>
    <row r="81" spans="2:33" x14ac:dyDescent="0.35">
      <c r="B81" s="75" t="s">
        <v>33</v>
      </c>
      <c r="C81" s="77"/>
      <c r="D81" s="2">
        <v>97</v>
      </c>
      <c r="E81" s="2">
        <v>125</v>
      </c>
      <c r="F81" s="2">
        <v>208</v>
      </c>
      <c r="G81" s="2"/>
      <c r="H81" s="77">
        <v>1684</v>
      </c>
      <c r="I81" s="2"/>
      <c r="J81" s="2"/>
      <c r="K81" s="2"/>
      <c r="L81" s="2"/>
      <c r="M81" s="2">
        <v>49</v>
      </c>
      <c r="N81" s="2"/>
      <c r="O81" s="2"/>
      <c r="P81" s="2">
        <v>180</v>
      </c>
      <c r="Q81" s="77">
        <v>1834</v>
      </c>
      <c r="R81" s="2"/>
      <c r="S81" s="2">
        <v>57</v>
      </c>
      <c r="T81" s="2">
        <v>50</v>
      </c>
      <c r="U81" s="2"/>
      <c r="V81" s="2"/>
      <c r="W81" s="76"/>
      <c r="X81" s="2"/>
      <c r="Y81" s="77"/>
      <c r="Z81" s="77"/>
      <c r="AA81" s="2"/>
      <c r="AB81" s="2"/>
      <c r="AC81" s="2"/>
      <c r="AD81" s="2"/>
      <c r="AE81" s="2"/>
      <c r="AF81" s="2"/>
      <c r="AG81" s="2"/>
    </row>
    <row r="82" spans="2:33" x14ac:dyDescent="0.35">
      <c r="B82" s="75" t="s">
        <v>38</v>
      </c>
      <c r="C82" s="2"/>
      <c r="D82" s="2">
        <v>630</v>
      </c>
      <c r="E82" s="2"/>
      <c r="F82" s="2"/>
      <c r="G82" s="2"/>
      <c r="H82" s="2">
        <v>108</v>
      </c>
      <c r="I82" s="2"/>
      <c r="J82" s="2"/>
      <c r="K82" s="2">
        <v>421</v>
      </c>
      <c r="L82" s="2">
        <v>85</v>
      </c>
      <c r="M82" s="77"/>
      <c r="N82" s="2"/>
      <c r="O82" s="2"/>
      <c r="P82" s="2"/>
      <c r="Q82" s="77"/>
      <c r="R82" s="2"/>
      <c r="S82" s="77"/>
      <c r="T82" s="2"/>
      <c r="U82" s="2"/>
      <c r="V82" s="2">
        <v>168</v>
      </c>
      <c r="W82" s="2"/>
      <c r="X82" s="2"/>
      <c r="Y82" s="77"/>
      <c r="Z82" s="2"/>
      <c r="AA82" s="2"/>
      <c r="AB82" s="77"/>
      <c r="AC82" s="2"/>
      <c r="AD82" s="2"/>
      <c r="AE82" s="2"/>
      <c r="AF82" s="77"/>
      <c r="AG82" s="2"/>
    </row>
    <row r="83" spans="2:33" x14ac:dyDescent="0.35">
      <c r="B83" s="90" t="s">
        <v>39</v>
      </c>
      <c r="C83" s="99">
        <v>4726</v>
      </c>
      <c r="D83" s="99">
        <v>1674</v>
      </c>
      <c r="E83" s="99">
        <v>6303</v>
      </c>
      <c r="F83" s="100">
        <v>1533</v>
      </c>
      <c r="G83" s="100"/>
      <c r="H83" s="99">
        <v>1232</v>
      </c>
      <c r="I83" s="99">
        <v>3807</v>
      </c>
      <c r="J83" s="100">
        <v>479</v>
      </c>
      <c r="K83" s="99">
        <v>7179</v>
      </c>
      <c r="L83" s="100">
        <v>168</v>
      </c>
      <c r="M83" s="100">
        <v>716</v>
      </c>
      <c r="N83" s="100"/>
      <c r="O83" s="100">
        <v>256</v>
      </c>
      <c r="P83" s="100">
        <v>250</v>
      </c>
      <c r="Q83" s="99">
        <v>1220</v>
      </c>
      <c r="R83" s="99">
        <v>4461</v>
      </c>
      <c r="S83" s="99">
        <v>940</v>
      </c>
      <c r="T83" s="99">
        <v>3329</v>
      </c>
      <c r="U83" s="100"/>
      <c r="V83" s="99">
        <v>1205</v>
      </c>
      <c r="W83" s="100"/>
      <c r="X83" s="100"/>
      <c r="Y83" s="99"/>
      <c r="Z83" s="99"/>
      <c r="AA83" s="99"/>
      <c r="AB83" s="99"/>
      <c r="AC83" s="99"/>
      <c r="AD83" s="99"/>
      <c r="AE83" s="99"/>
      <c r="AF83" s="99"/>
      <c r="AG83" s="100"/>
    </row>
  </sheetData>
  <mergeCells count="8">
    <mergeCell ref="B59:B67"/>
    <mergeCell ref="AH59:AH67"/>
    <mergeCell ref="B2:AH3"/>
    <mergeCell ref="B6:B14"/>
    <mergeCell ref="AH6:AH14"/>
    <mergeCell ref="B50:B55"/>
    <mergeCell ref="AH50:AH55"/>
    <mergeCell ref="C58:AG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t433</cp:lastModifiedBy>
  <dcterms:created xsi:type="dcterms:W3CDTF">2026-07-20T12:28:05Z</dcterms:created>
  <dcterms:modified xsi:type="dcterms:W3CDTF">2026-07-29T16:47:24Z</dcterms:modified>
</cp:coreProperties>
</file>