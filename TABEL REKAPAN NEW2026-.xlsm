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BACKUP DATA\"/>
    </mc:Choice>
  </mc:AlternateContent>
  <xr:revisionPtr revIDLastSave="0" documentId="13_ncr:1_{572B82E7-7D14-4E32-98FE-A3FCE75565E0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JANUARI" sheetId="25" r:id="rId1"/>
    <sheet name="FEBRUARI" sheetId="26" r:id="rId2"/>
    <sheet name="MARET" sheetId="15" r:id="rId3"/>
    <sheet name="APRIL" sheetId="16" r:id="rId4"/>
    <sheet name="MEI" sheetId="18" r:id="rId5"/>
    <sheet name="JUNI" sheetId="19" r:id="rId6"/>
    <sheet name="JULI" sheetId="20" r:id="rId7"/>
    <sheet name="AGUSTUS" sheetId="21" r:id="rId8"/>
    <sheet name="SEPTEMBER" sheetId="22" r:id="rId9"/>
    <sheet name="OKTOBER" sheetId="23" r:id="rId10"/>
    <sheet name="NOVEMBER" sheetId="24" r:id="rId11"/>
    <sheet name="DESEMBER" sheetId="1" r:id="rId1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6" i="20" l="1"/>
  <c r="V46" i="20"/>
  <c r="L46" i="20"/>
  <c r="I46" i="20"/>
  <c r="H46" i="20"/>
  <c r="I15" i="20"/>
  <c r="H15" i="20"/>
  <c r="C46" i="20"/>
  <c r="AE46" i="19"/>
  <c r="AC47" i="19"/>
  <c r="Z46" i="19"/>
  <c r="Y47" i="19"/>
  <c r="Y46" i="19"/>
  <c r="X46" i="19"/>
  <c r="R46" i="19"/>
  <c r="Q47" i="19"/>
  <c r="Q46" i="19"/>
  <c r="O41" i="19"/>
  <c r="N46" i="19"/>
  <c r="I46" i="19"/>
  <c r="F46" i="19"/>
  <c r="D46" i="19"/>
  <c r="C47" i="19"/>
  <c r="E47" i="19"/>
  <c r="C41" i="19"/>
  <c r="D47" i="19"/>
  <c r="C45" i="19"/>
  <c r="D45" i="19"/>
  <c r="C15" i="19"/>
  <c r="AB46" i="18"/>
  <c r="AA46" i="18"/>
  <c r="W46" i="18"/>
  <c r="U45" i="18"/>
  <c r="U46" i="18"/>
  <c r="T46" i="18"/>
  <c r="S46" i="18"/>
  <c r="P46" i="18"/>
  <c r="N46" i="18"/>
  <c r="K46" i="18"/>
  <c r="G46" i="18"/>
  <c r="E46" i="18"/>
  <c r="F46" i="18" s="1"/>
  <c r="C46" i="18"/>
  <c r="AF46" i="16"/>
  <c r="AE46" i="16"/>
  <c r="AD46" i="16"/>
  <c r="AC46" i="16"/>
  <c r="AA46" i="16"/>
  <c r="Z46" i="16"/>
  <c r="Y46" i="16"/>
  <c r="X46" i="16"/>
  <c r="W46" i="16"/>
  <c r="V46" i="16"/>
  <c r="T46" i="16"/>
  <c r="S46" i="16"/>
  <c r="R46" i="16"/>
  <c r="Q46" i="16"/>
  <c r="P46" i="16"/>
  <c r="O46" i="16"/>
  <c r="G46" i="19" l="1"/>
  <c r="E46" i="19"/>
  <c r="E46" i="15"/>
  <c r="U46" i="26" l="1"/>
  <c r="V46" i="26" s="1"/>
  <c r="W46" i="26" s="1"/>
  <c r="O46" i="26" l="1"/>
  <c r="M47" i="26" l="1"/>
  <c r="K47" i="26"/>
  <c r="K41" i="26"/>
  <c r="I47" i="26" l="1"/>
  <c r="H41" i="26"/>
  <c r="G45" i="26" l="1"/>
  <c r="E45" i="26" l="1"/>
  <c r="F45" i="26"/>
  <c r="D46" i="26" l="1"/>
  <c r="E46" i="26" s="1"/>
  <c r="F46" i="26" s="1"/>
  <c r="G46" i="26" s="1"/>
  <c r="H46" i="26" s="1"/>
  <c r="I46" i="26" s="1"/>
  <c r="D45" i="26"/>
  <c r="D47" i="26"/>
  <c r="E47" i="26"/>
  <c r="D41" i="26"/>
  <c r="E41" i="26"/>
  <c r="D23" i="26"/>
  <c r="E23" i="26"/>
  <c r="C5" i="26"/>
  <c r="D15" i="26"/>
  <c r="D5" i="26" s="1"/>
  <c r="E15" i="26"/>
  <c r="E5" i="26" s="1"/>
  <c r="AC46" i="25" l="1"/>
  <c r="P46" i="25" l="1"/>
  <c r="C75" i="26"/>
  <c r="C74" i="26"/>
  <c r="AG47" i="26"/>
  <c r="AF47" i="26"/>
  <c r="AE47" i="26"/>
  <c r="AD47" i="26"/>
  <c r="AC47" i="26"/>
  <c r="AB47" i="26"/>
  <c r="AA47" i="26"/>
  <c r="Z47" i="26"/>
  <c r="Y47" i="26"/>
  <c r="X47" i="26"/>
  <c r="W47" i="26"/>
  <c r="V47" i="26"/>
  <c r="U47" i="26"/>
  <c r="T47" i="26"/>
  <c r="S47" i="26"/>
  <c r="R47" i="26"/>
  <c r="Q47" i="26"/>
  <c r="P47" i="26"/>
  <c r="O47" i="26"/>
  <c r="N47" i="26"/>
  <c r="L47" i="26"/>
  <c r="J47" i="26"/>
  <c r="H47" i="26"/>
  <c r="G47" i="26"/>
  <c r="F47" i="26"/>
  <c r="X46" i="26"/>
  <c r="Y46" i="26" s="1"/>
  <c r="AA46" i="26" s="1"/>
  <c r="J46" i="26"/>
  <c r="AG45" i="26"/>
  <c r="AF45" i="26"/>
  <c r="AE45" i="26"/>
  <c r="AD45" i="26"/>
  <c r="AC45" i="26"/>
  <c r="AB45" i="26"/>
  <c r="AA45" i="26"/>
  <c r="Z45" i="26"/>
  <c r="Y45" i="26"/>
  <c r="X45" i="26"/>
  <c r="W45" i="26"/>
  <c r="V45" i="26"/>
  <c r="U45" i="26"/>
  <c r="T45" i="26"/>
  <c r="S45" i="26"/>
  <c r="R45" i="26"/>
  <c r="Q45" i="26"/>
  <c r="P45" i="26"/>
  <c r="O45" i="26"/>
  <c r="N45" i="26"/>
  <c r="M45" i="26"/>
  <c r="L45" i="26"/>
  <c r="K45" i="26"/>
  <c r="J45" i="26"/>
  <c r="I45" i="26"/>
  <c r="H45" i="26"/>
  <c r="AG41" i="26"/>
  <c r="AF41" i="26"/>
  <c r="AE41" i="26"/>
  <c r="AD41" i="26"/>
  <c r="AC41" i="26"/>
  <c r="AB41" i="26"/>
  <c r="AA41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J41" i="26"/>
  <c r="I41" i="26"/>
  <c r="G41" i="26"/>
  <c r="F41" i="26"/>
  <c r="AH37" i="26"/>
  <c r="AG23" i="26"/>
  <c r="AF23" i="26"/>
  <c r="AE23" i="26"/>
  <c r="AD23" i="26"/>
  <c r="AC23" i="26"/>
  <c r="AB23" i="26"/>
  <c r="AA23" i="26"/>
  <c r="Z23" i="26"/>
  <c r="Y23" i="26"/>
  <c r="X23" i="26"/>
  <c r="W23" i="26"/>
  <c r="V23" i="26"/>
  <c r="U23" i="26"/>
  <c r="T23" i="26"/>
  <c r="S23" i="26"/>
  <c r="R23" i="26"/>
  <c r="Q23" i="26"/>
  <c r="P23" i="26"/>
  <c r="O23" i="26"/>
  <c r="N23" i="26"/>
  <c r="M23" i="26"/>
  <c r="L23" i="26"/>
  <c r="K23" i="26"/>
  <c r="J23" i="26"/>
  <c r="I23" i="26"/>
  <c r="H23" i="26"/>
  <c r="G23" i="26"/>
  <c r="F23" i="26"/>
  <c r="AG15" i="26"/>
  <c r="AG5" i="26" s="1"/>
  <c r="AF15" i="26"/>
  <c r="AF5" i="26" s="1"/>
  <c r="AE15" i="26"/>
  <c r="AE5" i="26" s="1"/>
  <c r="AD15" i="26"/>
  <c r="AD5" i="26" s="1"/>
  <c r="AC15" i="26"/>
  <c r="AC5" i="26" s="1"/>
  <c r="AB15" i="26"/>
  <c r="AB5" i="26" s="1"/>
  <c r="AA15" i="26"/>
  <c r="AA5" i="26" s="1"/>
  <c r="Z15" i="26"/>
  <c r="Z5" i="26" s="1"/>
  <c r="Y15" i="26"/>
  <c r="Y5" i="26" s="1"/>
  <c r="X15" i="26"/>
  <c r="X5" i="26" s="1"/>
  <c r="W15" i="26"/>
  <c r="W5" i="26" s="1"/>
  <c r="V15" i="26"/>
  <c r="V5" i="26" s="1"/>
  <c r="U15" i="26"/>
  <c r="U5" i="26" s="1"/>
  <c r="T15" i="26"/>
  <c r="T5" i="26" s="1"/>
  <c r="S15" i="26"/>
  <c r="S5" i="26" s="1"/>
  <c r="R15" i="26"/>
  <c r="R5" i="26" s="1"/>
  <c r="Q15" i="26"/>
  <c r="Q5" i="26" s="1"/>
  <c r="P15" i="26"/>
  <c r="P5" i="26" s="1"/>
  <c r="O15" i="26"/>
  <c r="O5" i="26" s="1"/>
  <c r="N15" i="26"/>
  <c r="N5" i="26" s="1"/>
  <c r="M15" i="26"/>
  <c r="M5" i="26" s="1"/>
  <c r="L15" i="26"/>
  <c r="L5" i="26" s="1"/>
  <c r="K15" i="26"/>
  <c r="K5" i="26" s="1"/>
  <c r="J15" i="26"/>
  <c r="J5" i="26" s="1"/>
  <c r="I15" i="26"/>
  <c r="I5" i="26" s="1"/>
  <c r="H15" i="26"/>
  <c r="H5" i="26" s="1"/>
  <c r="G15" i="26"/>
  <c r="G5" i="26" s="1"/>
  <c r="F15" i="26"/>
  <c r="F5" i="26" s="1"/>
  <c r="K46" i="26" l="1"/>
  <c r="L46" i="26" s="1"/>
  <c r="M46" i="26" s="1"/>
  <c r="P46" i="26" s="1"/>
  <c r="Q46" i="26" s="1"/>
  <c r="R46" i="26" s="1"/>
  <c r="S46" i="26" s="1"/>
  <c r="AB46" i="26"/>
  <c r="AC46" i="26" s="1"/>
  <c r="AD46" i="26" s="1"/>
  <c r="AE46" i="26" s="1"/>
  <c r="AF46" i="26" s="1"/>
  <c r="AG46" i="26" s="1"/>
  <c r="AH41" i="26"/>
  <c r="C73" i="26"/>
  <c r="AH23" i="26"/>
  <c r="AH15" i="26"/>
  <c r="AH5" i="26"/>
  <c r="AH47" i="26"/>
  <c r="C71" i="26"/>
  <c r="C72" i="26"/>
  <c r="AD45" i="1"/>
  <c r="AC47" i="1"/>
  <c r="AD47" i="1"/>
  <c r="AC45" i="1" l="1"/>
  <c r="AA47" i="1" l="1"/>
  <c r="AB47" i="1"/>
  <c r="AB46" i="1"/>
  <c r="AC46" i="1" s="1"/>
  <c r="AD46" i="1" s="1"/>
  <c r="AA45" i="1"/>
  <c r="AB45" i="1"/>
  <c r="Z47" i="1" l="1"/>
  <c r="Z45" i="1"/>
  <c r="Y15" i="1"/>
  <c r="Y47" i="1" l="1"/>
  <c r="Y45" i="1"/>
  <c r="W47" i="1" l="1"/>
  <c r="X47" i="1"/>
  <c r="W45" i="1"/>
  <c r="X45" i="1"/>
  <c r="Y41" i="1"/>
  <c r="V47" i="1"/>
  <c r="V45" i="1" l="1"/>
  <c r="U47" i="1" l="1"/>
  <c r="U45" i="1"/>
  <c r="T47" i="1" l="1"/>
  <c r="T45" i="1"/>
  <c r="S47" i="1" l="1"/>
  <c r="S45" i="1"/>
  <c r="P45" i="1" l="1"/>
  <c r="Q45" i="1"/>
  <c r="R45" i="1"/>
  <c r="R47" i="1"/>
  <c r="P47" i="1" l="1"/>
  <c r="Q47" i="1"/>
  <c r="O47" i="1" l="1"/>
  <c r="O45" i="1"/>
  <c r="N47" i="1" l="1"/>
  <c r="N45" i="1"/>
  <c r="M47" i="1" l="1"/>
  <c r="M45" i="1"/>
  <c r="L47" i="1" l="1"/>
  <c r="K45" i="1"/>
  <c r="L45" i="1"/>
  <c r="K47" i="1" l="1"/>
  <c r="I47" i="1" l="1"/>
  <c r="J47" i="1"/>
  <c r="J45" i="1"/>
  <c r="H45" i="1"/>
  <c r="I45" i="1"/>
  <c r="H47" i="1" l="1"/>
  <c r="H46" i="1"/>
  <c r="J46" i="1" s="1"/>
  <c r="K46" i="1" s="1"/>
  <c r="L46" i="1" s="1"/>
  <c r="M46" i="1" s="1"/>
  <c r="N46" i="1" s="1"/>
  <c r="O46" i="1" s="1"/>
  <c r="Q46" i="1" s="1"/>
  <c r="R46" i="1" s="1"/>
  <c r="S46" i="1" s="1"/>
  <c r="T46" i="1" s="1"/>
  <c r="U46" i="1" s="1"/>
  <c r="V46" i="1" s="1"/>
  <c r="X46" i="1" s="1"/>
  <c r="Y46" i="1" s="1"/>
  <c r="Z46" i="1" s="1"/>
  <c r="G47" i="1" l="1"/>
  <c r="G45" i="1"/>
  <c r="G41" i="1"/>
  <c r="F47" i="1" l="1"/>
  <c r="F45" i="1"/>
  <c r="E47" i="1" l="1"/>
  <c r="D45" i="1"/>
  <c r="E45" i="1"/>
  <c r="D47" i="1" l="1"/>
  <c r="D46" i="1"/>
  <c r="E46" i="1" s="1"/>
  <c r="F46" i="1" s="1"/>
  <c r="G46" i="1" s="1"/>
  <c r="C45" i="1" l="1"/>
  <c r="AE47" i="24" l="1"/>
  <c r="AE45" i="24"/>
  <c r="AE41" i="24"/>
  <c r="AC47" i="24" l="1"/>
  <c r="AD47" i="24"/>
  <c r="AC45" i="24"/>
  <c r="AD45" i="24"/>
  <c r="AB47" i="24" l="1"/>
  <c r="AB46" i="24"/>
  <c r="AD46" i="24" s="1"/>
  <c r="AE46" i="24" s="1"/>
  <c r="AB45" i="24"/>
  <c r="AA45" i="24" l="1"/>
  <c r="AA47" i="24"/>
  <c r="Y47" i="24" l="1"/>
  <c r="Z47" i="24"/>
  <c r="Y45" i="24"/>
  <c r="Z45" i="24"/>
  <c r="X45" i="24" l="1"/>
  <c r="X47" i="24"/>
  <c r="W47" i="24" l="1"/>
  <c r="W45" i="24"/>
  <c r="V47" i="24" l="1"/>
  <c r="V45" i="24"/>
  <c r="V46" i="24"/>
  <c r="W46" i="24" s="1"/>
  <c r="X46" i="24" s="1"/>
  <c r="U47" i="24" l="1"/>
  <c r="U45" i="24"/>
  <c r="U41" i="24"/>
  <c r="S47" i="24" l="1"/>
  <c r="T47" i="24"/>
  <c r="S45" i="24"/>
  <c r="T45" i="24"/>
  <c r="R47" i="24" l="1"/>
  <c r="R45" i="24"/>
  <c r="Q47" i="24" l="1"/>
  <c r="Q45" i="24"/>
  <c r="P47" i="24" l="1"/>
  <c r="P45" i="24"/>
  <c r="O15" i="24" l="1"/>
  <c r="O45" i="24"/>
  <c r="O47" i="24"/>
  <c r="N45" i="24" l="1"/>
  <c r="N47" i="24"/>
  <c r="M47" i="24" l="1"/>
  <c r="M45" i="24"/>
  <c r="K47" i="24" l="1"/>
  <c r="L47" i="24"/>
  <c r="K45" i="24"/>
  <c r="L45" i="24"/>
  <c r="J47" i="24" l="1"/>
  <c r="J45" i="24"/>
  <c r="I47" i="24" l="1"/>
  <c r="I45" i="24"/>
  <c r="H47" i="24" l="1"/>
  <c r="H45" i="24"/>
  <c r="F47" i="24" l="1"/>
  <c r="G47" i="24"/>
  <c r="E45" i="24"/>
  <c r="F45" i="24"/>
  <c r="G45" i="24"/>
  <c r="E47" i="24" l="1"/>
  <c r="D47" i="24" l="1"/>
  <c r="D46" i="24"/>
  <c r="E46" i="24" s="1"/>
  <c r="G46" i="24" s="1"/>
  <c r="H46" i="24" s="1"/>
  <c r="I46" i="24" s="1"/>
  <c r="J46" i="24" s="1"/>
  <c r="L46" i="24" s="1"/>
  <c r="M46" i="24" s="1"/>
  <c r="N46" i="24" s="1"/>
  <c r="O46" i="24" s="1"/>
  <c r="P46" i="24" s="1"/>
  <c r="Q46" i="24" s="1"/>
  <c r="R46" i="24" s="1"/>
  <c r="T46" i="24" s="1"/>
  <c r="U46" i="24" s="1"/>
  <c r="D45" i="24"/>
  <c r="C45" i="24" l="1"/>
  <c r="C47" i="24"/>
  <c r="AG47" i="23" l="1"/>
  <c r="AG45" i="23"/>
  <c r="AF47" i="23" l="1"/>
  <c r="AF45" i="23"/>
  <c r="AE45" i="23" l="1"/>
  <c r="AE47" i="23"/>
  <c r="AC47" i="23" l="1"/>
  <c r="AD47" i="23"/>
  <c r="AB45" i="23"/>
  <c r="AC45" i="23"/>
  <c r="AD45" i="23"/>
  <c r="AB47" i="23" l="1"/>
  <c r="AA47" i="23" l="1"/>
  <c r="AA45" i="23"/>
  <c r="Z47" i="23" l="1"/>
  <c r="Z45" i="23"/>
  <c r="Y45" i="23" l="1"/>
  <c r="Y47" i="23"/>
  <c r="Y46" i="23"/>
  <c r="Z46" i="23" s="1"/>
  <c r="AA46" i="23" s="1"/>
  <c r="AB46" i="23" s="1"/>
  <c r="AD46" i="23" s="1"/>
  <c r="AE46" i="23" s="1"/>
  <c r="AF46" i="23" s="1"/>
  <c r="AG46" i="23" s="1"/>
  <c r="X47" i="23" l="1"/>
  <c r="X45" i="23"/>
  <c r="W47" i="23" l="1"/>
  <c r="W45" i="23"/>
  <c r="V47" i="23" l="1"/>
  <c r="V45" i="23"/>
  <c r="T47" i="23"/>
  <c r="S45" i="23" l="1"/>
  <c r="S47" i="23"/>
  <c r="R47" i="23" l="1"/>
  <c r="R45" i="23"/>
  <c r="Q45" i="23" l="1"/>
  <c r="Q47" i="23"/>
  <c r="P47" i="23" l="1"/>
  <c r="P45" i="23"/>
  <c r="O47" i="23" l="1"/>
  <c r="O45" i="23"/>
  <c r="N46" i="23" l="1"/>
  <c r="O46" i="23" s="1"/>
  <c r="P46" i="23" s="1"/>
  <c r="Q46" i="23" s="1"/>
  <c r="R46" i="23" s="1"/>
  <c r="S46" i="23" s="1"/>
  <c r="V46" i="23" s="1"/>
  <c r="W46" i="23" s="1"/>
  <c r="X46" i="23" s="1"/>
  <c r="N47" i="23"/>
  <c r="L45" i="23" l="1"/>
  <c r="M45" i="23"/>
  <c r="N45" i="23"/>
  <c r="M47" i="23"/>
  <c r="M46" i="23"/>
  <c r="L47" i="23" l="1"/>
  <c r="K45" i="23" l="1"/>
  <c r="K47" i="23"/>
  <c r="J47" i="23" l="1"/>
  <c r="J45" i="23"/>
  <c r="H47" i="23" l="1"/>
  <c r="I47" i="23"/>
  <c r="H45" i="23"/>
  <c r="I45" i="23"/>
  <c r="G46" i="23" l="1"/>
  <c r="I46" i="23" s="1"/>
  <c r="J46" i="23" s="1"/>
  <c r="K46" i="23" s="1"/>
  <c r="L46" i="23" s="1"/>
  <c r="G45" i="23"/>
  <c r="G47" i="23"/>
  <c r="F47" i="23" l="1"/>
  <c r="F45" i="23" l="1"/>
  <c r="D45" i="23" l="1"/>
  <c r="E45" i="23"/>
  <c r="E47" i="23"/>
  <c r="D47" i="23" l="1"/>
  <c r="C46" i="23" l="1"/>
  <c r="D46" i="23" s="1"/>
  <c r="E46" i="23" s="1"/>
  <c r="C45" i="23"/>
  <c r="T46" i="22" l="1"/>
  <c r="U46" i="22" s="1"/>
  <c r="V46" i="22" s="1"/>
  <c r="X46" i="22" s="1"/>
  <c r="Y46" i="22" s="1"/>
  <c r="Z46" i="22" s="1"/>
  <c r="AA46" i="22" s="1"/>
  <c r="AB46" i="22" s="1"/>
  <c r="AC46" i="22" s="1"/>
  <c r="AE46" i="22" s="1"/>
  <c r="H45" i="22" l="1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G45" i="22" l="1"/>
  <c r="F45" i="22" l="1"/>
  <c r="E45" i="22" l="1"/>
  <c r="F47" i="22" l="1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D47" i="22"/>
  <c r="E47" i="22"/>
  <c r="D45" i="22"/>
  <c r="D46" i="22"/>
  <c r="E46" i="22" s="1"/>
  <c r="F46" i="22" s="1"/>
  <c r="G46" i="22" s="1"/>
  <c r="J46" i="22" s="1"/>
  <c r="K46" i="22" s="1"/>
  <c r="L46" i="22" s="1"/>
  <c r="M46" i="22" s="1"/>
  <c r="N46" i="22" s="1"/>
  <c r="O46" i="22" s="1"/>
  <c r="Q46" i="22" s="1"/>
  <c r="R46" i="22" s="1"/>
  <c r="S46" i="22" s="1"/>
  <c r="C46" i="22" l="1"/>
  <c r="C45" i="22"/>
  <c r="C47" i="22"/>
  <c r="X46" i="21" l="1"/>
  <c r="Y46" i="21" s="1"/>
  <c r="AA46" i="21" s="1"/>
  <c r="AB46" i="21" s="1"/>
  <c r="AC46" i="21" s="1"/>
  <c r="AD46" i="21" s="1"/>
  <c r="AE46" i="21" s="1"/>
  <c r="AF46" i="21" s="1"/>
  <c r="Q46" i="21" l="1"/>
  <c r="R46" i="21" s="1"/>
  <c r="T46" i="21" s="1"/>
  <c r="U46" i="21" s="1"/>
  <c r="V46" i="21" s="1"/>
  <c r="W46" i="21" s="1"/>
  <c r="H46" i="21" l="1"/>
  <c r="I46" i="21" s="1"/>
  <c r="J46" i="21" s="1"/>
  <c r="K46" i="21" s="1"/>
  <c r="L46" i="21" s="1"/>
  <c r="M46" i="21" s="1"/>
  <c r="N46" i="21" s="1"/>
  <c r="O46" i="21" s="1"/>
  <c r="P46" i="21" s="1"/>
  <c r="D47" i="21" l="1"/>
  <c r="C46" i="21" l="1"/>
  <c r="D46" i="21" s="1"/>
  <c r="F46" i="21" s="1"/>
  <c r="G46" i="21" s="1"/>
  <c r="C23" i="21"/>
  <c r="E47" i="21"/>
  <c r="F47" i="21"/>
  <c r="G47" i="21"/>
  <c r="H47" i="21"/>
  <c r="I47" i="21"/>
  <c r="J47" i="21"/>
  <c r="K47" i="21"/>
  <c r="L47" i="21"/>
  <c r="M47" i="21"/>
  <c r="N47" i="21"/>
  <c r="O47" i="21"/>
  <c r="P47" i="21"/>
  <c r="Q47" i="21"/>
  <c r="R47" i="21"/>
  <c r="S47" i="21"/>
  <c r="T47" i="21"/>
  <c r="U47" i="21"/>
  <c r="V47" i="21"/>
  <c r="W47" i="21"/>
  <c r="X47" i="21"/>
  <c r="Y47" i="21"/>
  <c r="Z47" i="21"/>
  <c r="AA47" i="21"/>
  <c r="AB47" i="21"/>
  <c r="AC47" i="21"/>
  <c r="AD47" i="21"/>
  <c r="AE47" i="21"/>
  <c r="AF47" i="21"/>
  <c r="AG47" i="21"/>
  <c r="D45" i="21"/>
  <c r="E45" i="21"/>
  <c r="F45" i="21"/>
  <c r="G45" i="21"/>
  <c r="H45" i="21"/>
  <c r="I45" i="21"/>
  <c r="J45" i="21"/>
  <c r="K45" i="21"/>
  <c r="L45" i="21"/>
  <c r="M45" i="21"/>
  <c r="N45" i="21"/>
  <c r="O45" i="21"/>
  <c r="P45" i="21"/>
  <c r="Q45" i="21"/>
  <c r="R45" i="21"/>
  <c r="S45" i="21"/>
  <c r="T45" i="21"/>
  <c r="U45" i="21"/>
  <c r="V45" i="21"/>
  <c r="W45" i="21"/>
  <c r="X45" i="21"/>
  <c r="Y45" i="21"/>
  <c r="Z45" i="21"/>
  <c r="AA45" i="21"/>
  <c r="AB45" i="21"/>
  <c r="AC45" i="21"/>
  <c r="AD45" i="21"/>
  <c r="AE45" i="21"/>
  <c r="AF45" i="21"/>
  <c r="AG45" i="21"/>
  <c r="AH45" i="21"/>
  <c r="C45" i="21"/>
  <c r="C47" i="21"/>
  <c r="AG47" i="20" l="1"/>
  <c r="AG45" i="20"/>
  <c r="AF47" i="20" l="1"/>
  <c r="AF45" i="20"/>
  <c r="AE47" i="20" l="1"/>
  <c r="AE45" i="20"/>
  <c r="AC47" i="20" l="1"/>
  <c r="AD47" i="20"/>
  <c r="AC45" i="20"/>
  <c r="AD45" i="20"/>
  <c r="AB46" i="20" l="1"/>
  <c r="AD46" i="20" s="1"/>
  <c r="AE46" i="20" s="1"/>
  <c r="AF46" i="20" s="1"/>
  <c r="AG46" i="20" s="1"/>
  <c r="AB45" i="20"/>
  <c r="AA45" i="20" l="1"/>
  <c r="Z45" i="20" l="1"/>
  <c r="Y45" i="20" l="1"/>
  <c r="X46" i="20" l="1"/>
  <c r="Y46" i="20" s="1"/>
  <c r="Z46" i="20" s="1"/>
  <c r="AA46" i="20" s="1"/>
  <c r="X45" i="20"/>
  <c r="W45" i="20" l="1"/>
  <c r="U45" i="20"/>
  <c r="V45" i="20"/>
  <c r="T45" i="20" l="1"/>
  <c r="T41" i="20"/>
  <c r="S45" i="20" l="1"/>
  <c r="R45" i="20" l="1"/>
  <c r="Q45" i="20" l="1"/>
  <c r="O45" i="20" l="1"/>
  <c r="P45" i="20"/>
  <c r="N46" i="20" l="1"/>
  <c r="Q46" i="20" l="1"/>
  <c r="R46" i="20" s="1"/>
  <c r="S46" i="20" s="1"/>
  <c r="T46" i="20" s="1"/>
  <c r="O46" i="20"/>
  <c r="C15" i="21"/>
  <c r="H47" i="20" l="1"/>
  <c r="I47" i="20"/>
  <c r="J47" i="20"/>
  <c r="K47" i="20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B47" i="20"/>
  <c r="G45" i="20"/>
  <c r="H45" i="20"/>
  <c r="I45" i="20"/>
  <c r="J45" i="20"/>
  <c r="K45" i="20"/>
  <c r="L45" i="20"/>
  <c r="M45" i="20"/>
  <c r="N45" i="20"/>
  <c r="G47" i="20" l="1"/>
  <c r="F47" i="20" l="1"/>
  <c r="F45" i="20"/>
  <c r="E45" i="20" l="1"/>
  <c r="E47" i="20"/>
  <c r="D45" i="20" l="1"/>
  <c r="D46" i="20"/>
  <c r="E46" i="20" s="1"/>
  <c r="F46" i="20" s="1"/>
  <c r="G46" i="20" s="1"/>
  <c r="J46" i="20" s="1"/>
  <c r="K46" i="20" s="1"/>
  <c r="D47" i="20"/>
  <c r="C45" i="20" l="1"/>
  <c r="AE45" i="19" l="1"/>
  <c r="AF45" i="19"/>
  <c r="AD45" i="19" l="1"/>
  <c r="AC45" i="19" l="1"/>
  <c r="AA45" i="19" l="1"/>
  <c r="AB45" i="19"/>
  <c r="AA46" i="19" l="1"/>
  <c r="AB46" i="19" s="1"/>
  <c r="AC46" i="19" s="1"/>
  <c r="AD46" i="19" s="1"/>
  <c r="AF46" i="19" s="1"/>
  <c r="Z45" i="19"/>
  <c r="W45" i="19" l="1"/>
  <c r="X45" i="19"/>
  <c r="Y45" i="19"/>
  <c r="V45" i="19" l="1"/>
  <c r="U45" i="19" l="1"/>
  <c r="T45" i="19" l="1"/>
  <c r="R45" i="19" l="1"/>
  <c r="S45" i="19"/>
  <c r="Q45" i="19" l="1"/>
  <c r="P45" i="19" l="1"/>
  <c r="O45" i="19" l="1"/>
  <c r="O46" i="19" l="1"/>
  <c r="S46" i="19" s="1"/>
  <c r="T46" i="19" s="1"/>
  <c r="U46" i="19" s="1"/>
  <c r="V46" i="19" s="1"/>
  <c r="W46" i="19" s="1"/>
  <c r="M45" i="19"/>
  <c r="N45" i="19"/>
  <c r="L45" i="19" l="1"/>
  <c r="J45" i="19" l="1"/>
  <c r="K45" i="19"/>
  <c r="I45" i="19" l="1"/>
  <c r="H45" i="19" l="1"/>
  <c r="G45" i="19" l="1"/>
  <c r="F45" i="19" l="1"/>
  <c r="H46" i="19" l="1"/>
  <c r="K46" i="19" s="1"/>
  <c r="L46" i="19" s="1"/>
  <c r="M46" i="19" s="1"/>
  <c r="E45" i="19"/>
  <c r="F47" i="19"/>
  <c r="G47" i="19"/>
  <c r="H47" i="19"/>
  <c r="I47" i="19"/>
  <c r="J47" i="19"/>
  <c r="K47" i="19"/>
  <c r="L47" i="19"/>
  <c r="M47" i="19"/>
  <c r="N47" i="19"/>
  <c r="O47" i="19"/>
  <c r="P47" i="19"/>
  <c r="R47" i="19"/>
  <c r="S47" i="19"/>
  <c r="T47" i="19"/>
  <c r="U47" i="19"/>
  <c r="V47" i="19"/>
  <c r="W47" i="19"/>
  <c r="X47" i="19"/>
  <c r="Z47" i="19"/>
  <c r="AA47" i="19"/>
  <c r="AB47" i="19"/>
  <c r="AD47" i="19"/>
  <c r="AE47" i="19"/>
  <c r="AF47" i="19"/>
  <c r="AG47" i="19"/>
  <c r="AG46" i="18" l="1"/>
  <c r="AG45" i="18"/>
  <c r="C71" i="18" l="1"/>
  <c r="AF45" i="18"/>
  <c r="AE45" i="18" l="1"/>
  <c r="AC46" i="18" l="1"/>
  <c r="AD46" i="18" s="1"/>
  <c r="AE46" i="18" s="1"/>
  <c r="AF46" i="18" s="1"/>
  <c r="Q41" i="18" l="1"/>
  <c r="Q46" i="18" l="1"/>
  <c r="R46" i="18" s="1"/>
  <c r="V46" i="18" s="1"/>
  <c r="O15" i="18" l="1"/>
  <c r="L45" i="18" l="1"/>
  <c r="L41" i="18"/>
  <c r="F47" i="18" l="1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E47" i="18"/>
  <c r="H46" i="18"/>
  <c r="I46" i="18" s="1"/>
  <c r="J46" i="18" s="1"/>
  <c r="L46" i="18" s="1"/>
  <c r="O46" i="18" s="1"/>
  <c r="D47" i="18" l="1"/>
  <c r="E45" i="18" l="1"/>
  <c r="F45" i="18"/>
  <c r="G45" i="18"/>
  <c r="H45" i="18"/>
  <c r="I45" i="18"/>
  <c r="J45" i="18"/>
  <c r="K45" i="18"/>
  <c r="N45" i="18"/>
  <c r="O45" i="18"/>
  <c r="P45" i="18"/>
  <c r="Q45" i="18"/>
  <c r="R45" i="18"/>
  <c r="S45" i="18"/>
  <c r="T45" i="18"/>
  <c r="V45" i="18"/>
  <c r="W45" i="18"/>
  <c r="X45" i="18"/>
  <c r="Y45" i="18"/>
  <c r="Z45" i="18"/>
  <c r="AA45" i="18"/>
  <c r="AB45" i="18"/>
  <c r="AC45" i="18"/>
  <c r="AD45" i="18"/>
  <c r="D45" i="18"/>
  <c r="C45" i="18"/>
  <c r="D46" i="18"/>
  <c r="AF45" i="16" l="1"/>
  <c r="AE45" i="16" l="1"/>
  <c r="AC45" i="16" l="1"/>
  <c r="AD45" i="16"/>
  <c r="AD23" i="16"/>
  <c r="AB45" i="16" l="1"/>
  <c r="AA45" i="16" l="1"/>
  <c r="Z45" i="16" l="1"/>
  <c r="X45" i="16" l="1"/>
  <c r="Y45" i="16"/>
  <c r="V45" i="16" l="1"/>
  <c r="W45" i="16"/>
  <c r="T45" i="16" l="1"/>
  <c r="U45" i="16"/>
  <c r="S45" i="16" l="1"/>
  <c r="R45" i="16" l="1"/>
  <c r="Q47" i="16" l="1"/>
  <c r="R47" i="16"/>
  <c r="S47" i="16"/>
  <c r="T47" i="16"/>
  <c r="U47" i="16"/>
  <c r="V47" i="16"/>
  <c r="W47" i="16"/>
  <c r="X47" i="16"/>
  <c r="Y47" i="16"/>
  <c r="Z47" i="16"/>
  <c r="AA47" i="16"/>
  <c r="AB47" i="16"/>
  <c r="AC47" i="16"/>
  <c r="AD47" i="16"/>
  <c r="AE47" i="16"/>
  <c r="AF47" i="16"/>
  <c r="AG47" i="16"/>
  <c r="P47" i="16"/>
  <c r="Q45" i="16"/>
  <c r="P23" i="16" l="1"/>
  <c r="O45" i="16"/>
  <c r="P45" i="16"/>
  <c r="N45" i="16" l="1"/>
  <c r="M45" i="16" l="1"/>
  <c r="L47" i="16" l="1"/>
  <c r="L45" i="16"/>
  <c r="K45" i="16" l="1"/>
  <c r="I45" i="16" l="1"/>
  <c r="J45" i="16"/>
  <c r="I47" i="16"/>
  <c r="J47" i="16"/>
  <c r="K47" i="16"/>
  <c r="M47" i="16"/>
  <c r="N47" i="16"/>
  <c r="O47" i="16"/>
  <c r="H47" i="16" l="1"/>
  <c r="H45" i="16"/>
  <c r="G47" i="16" l="1"/>
  <c r="G45" i="16"/>
  <c r="Z45" i="15" l="1"/>
  <c r="W46" i="15" l="1"/>
  <c r="X46" i="15" s="1"/>
  <c r="Q45" i="15" l="1"/>
  <c r="F47" i="15" l="1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D47" i="15"/>
  <c r="E47" i="15"/>
  <c r="F45" i="15"/>
  <c r="G45" i="15"/>
  <c r="H45" i="15"/>
  <c r="I45" i="15"/>
  <c r="J45" i="15"/>
  <c r="K45" i="15"/>
  <c r="L45" i="15"/>
  <c r="M45" i="15"/>
  <c r="N45" i="15"/>
  <c r="O45" i="15"/>
  <c r="P45" i="15"/>
  <c r="R45" i="15"/>
  <c r="S45" i="15"/>
  <c r="T45" i="15"/>
  <c r="U45" i="15"/>
  <c r="V45" i="15"/>
  <c r="W45" i="15"/>
  <c r="X45" i="15"/>
  <c r="Y45" i="15"/>
  <c r="AA45" i="15"/>
  <c r="AB45" i="15"/>
  <c r="AC45" i="15"/>
  <c r="AD45" i="15"/>
  <c r="AE45" i="15"/>
  <c r="AF45" i="15"/>
  <c r="AG45" i="15"/>
  <c r="C45" i="15"/>
  <c r="D45" i="15"/>
  <c r="E45" i="15"/>
  <c r="F46" i="15" l="1"/>
  <c r="G46" i="15" s="1"/>
  <c r="H46" i="15" s="1"/>
  <c r="I46" i="15" s="1"/>
  <c r="J46" i="15" s="1"/>
  <c r="K46" i="15" l="1"/>
  <c r="L46" i="15" s="1"/>
  <c r="M46" i="15" s="1"/>
  <c r="N46" i="15" s="1"/>
  <c r="O46" i="15" s="1"/>
  <c r="P46" i="15" s="1"/>
  <c r="Q46" i="15" s="1"/>
  <c r="S46" i="15" s="1"/>
  <c r="T46" i="15" s="1"/>
  <c r="U46" i="15" s="1"/>
  <c r="Z46" i="15" s="1"/>
  <c r="AA46" i="15" s="1"/>
  <c r="AC46" i="15" s="1"/>
  <c r="AD46" i="15" s="1"/>
  <c r="AE46" i="15" s="1"/>
  <c r="AF46" i="15" s="1"/>
  <c r="X47" i="25"/>
  <c r="W46" i="25" l="1"/>
  <c r="X46" i="25" s="1"/>
  <c r="Y46" i="25" s="1"/>
  <c r="Z46" i="25" s="1"/>
  <c r="AA46" i="25" s="1"/>
  <c r="AD46" i="25" s="1"/>
  <c r="AE46" i="25" s="1"/>
  <c r="AF46" i="25" s="1"/>
  <c r="AG46" i="25" s="1"/>
  <c r="I45" i="25" l="1"/>
  <c r="J45" i="25"/>
  <c r="H45" i="25"/>
  <c r="M45" i="25"/>
  <c r="N45" i="25"/>
  <c r="O45" i="25"/>
  <c r="P45" i="25"/>
  <c r="Q45" i="25"/>
  <c r="R45" i="25"/>
  <c r="S45" i="25"/>
  <c r="T45" i="25"/>
  <c r="U45" i="25"/>
  <c r="V45" i="25"/>
  <c r="W45" i="25"/>
  <c r="X45" i="25"/>
  <c r="Y45" i="25"/>
  <c r="Z45" i="25"/>
  <c r="AA45" i="25"/>
  <c r="AB45" i="25"/>
  <c r="AC45" i="25"/>
  <c r="AD45" i="25"/>
  <c r="AE45" i="25"/>
  <c r="AF45" i="25"/>
  <c r="AG45" i="25"/>
  <c r="L45" i="25"/>
  <c r="K45" i="25"/>
  <c r="H47" i="25"/>
  <c r="J47" i="25"/>
  <c r="I47" i="25"/>
  <c r="I46" i="25"/>
  <c r="O46" i="25" s="1"/>
  <c r="Q46" i="25" s="1"/>
  <c r="R46" i="25" s="1"/>
  <c r="S46" i="25" s="1"/>
  <c r="T46" i="25" s="1"/>
  <c r="V46" i="25" s="1"/>
  <c r="J41" i="25"/>
  <c r="I41" i="25"/>
  <c r="H41" i="25"/>
  <c r="J23" i="25"/>
  <c r="I23" i="25"/>
  <c r="H23" i="25"/>
  <c r="J15" i="25"/>
  <c r="J5" i="25" s="1"/>
  <c r="I15" i="25"/>
  <c r="I5" i="25" s="1"/>
  <c r="H15" i="25"/>
  <c r="H5" i="25" s="1"/>
  <c r="F47" i="25" l="1"/>
  <c r="G47" i="25"/>
  <c r="K47" i="25"/>
  <c r="L47" i="25"/>
  <c r="M47" i="25"/>
  <c r="N47" i="25"/>
  <c r="O47" i="25"/>
  <c r="P47" i="25"/>
  <c r="Q47" i="25"/>
  <c r="R47" i="25"/>
  <c r="S47" i="25"/>
  <c r="T47" i="25"/>
  <c r="U47" i="25"/>
  <c r="V47" i="25"/>
  <c r="W47" i="25"/>
  <c r="Y47" i="25"/>
  <c r="Z47" i="25"/>
  <c r="AC47" i="25"/>
  <c r="AD47" i="25"/>
  <c r="AE47" i="25"/>
  <c r="AF47" i="25"/>
  <c r="AG47" i="25"/>
  <c r="AH47" i="25" l="1"/>
  <c r="C75" i="25"/>
  <c r="C74" i="25"/>
  <c r="C73" i="25"/>
  <c r="AG41" i="25"/>
  <c r="AF41" i="25"/>
  <c r="AE41" i="25"/>
  <c r="AD41" i="25"/>
  <c r="AC41" i="25"/>
  <c r="AB41" i="25"/>
  <c r="AA41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G41" i="25"/>
  <c r="F41" i="25"/>
  <c r="AH37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G23" i="25"/>
  <c r="F23" i="25"/>
  <c r="AG5" i="25"/>
  <c r="AF15" i="25"/>
  <c r="AF5" i="25" s="1"/>
  <c r="AE15" i="25"/>
  <c r="AE5" i="25" s="1"/>
  <c r="AD15" i="25"/>
  <c r="AD5" i="25" s="1"/>
  <c r="AC15" i="25"/>
  <c r="AC5" i="25" s="1"/>
  <c r="AB15" i="25"/>
  <c r="AB5" i="25" s="1"/>
  <c r="AA15" i="25"/>
  <c r="AA5" i="25" s="1"/>
  <c r="Z15" i="25"/>
  <c r="Z5" i="25" s="1"/>
  <c r="Y15" i="25"/>
  <c r="Y5" i="25" s="1"/>
  <c r="X15" i="25"/>
  <c r="X5" i="25" s="1"/>
  <c r="W15" i="25"/>
  <c r="W5" i="25" s="1"/>
  <c r="V15" i="25"/>
  <c r="V5" i="25" s="1"/>
  <c r="U15" i="25"/>
  <c r="U5" i="25" s="1"/>
  <c r="T15" i="25"/>
  <c r="T5" i="25" s="1"/>
  <c r="S15" i="25"/>
  <c r="S5" i="25" s="1"/>
  <c r="R15" i="25"/>
  <c r="R5" i="25" s="1"/>
  <c r="Q15" i="25"/>
  <c r="Q5" i="25" s="1"/>
  <c r="P15" i="25"/>
  <c r="P5" i="25" s="1"/>
  <c r="O15" i="25"/>
  <c r="O5" i="25" s="1"/>
  <c r="N15" i="25"/>
  <c r="N5" i="25" s="1"/>
  <c r="M15" i="25"/>
  <c r="M5" i="25" s="1"/>
  <c r="L15" i="25"/>
  <c r="L5" i="25" s="1"/>
  <c r="K15" i="25"/>
  <c r="K5" i="25" s="1"/>
  <c r="G15" i="25"/>
  <c r="G5" i="25" s="1"/>
  <c r="F15" i="25"/>
  <c r="F5" i="25" s="1"/>
  <c r="C75" i="24"/>
  <c r="C74" i="24"/>
  <c r="C73" i="24"/>
  <c r="AG41" i="24"/>
  <c r="AF41" i="24"/>
  <c r="AD41" i="24"/>
  <c r="AC41" i="24"/>
  <c r="AB41" i="24"/>
  <c r="AA41" i="24"/>
  <c r="Z41" i="24"/>
  <c r="Y41" i="24"/>
  <c r="X41" i="24"/>
  <c r="W41" i="24"/>
  <c r="V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C41" i="24"/>
  <c r="AH37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AG15" i="24"/>
  <c r="AF15" i="24"/>
  <c r="AE15" i="24"/>
  <c r="AE5" i="24" s="1"/>
  <c r="AD15" i="24"/>
  <c r="AD5" i="24" s="1"/>
  <c r="AC15" i="24"/>
  <c r="AC5" i="24" s="1"/>
  <c r="AB15" i="24"/>
  <c r="AB5" i="24" s="1"/>
  <c r="AA15" i="24"/>
  <c r="AA5" i="24" s="1"/>
  <c r="Z15" i="24"/>
  <c r="Z5" i="24" s="1"/>
  <c r="Y15" i="24"/>
  <c r="Y5" i="24" s="1"/>
  <c r="X15" i="24"/>
  <c r="W15" i="24"/>
  <c r="W5" i="24" s="1"/>
  <c r="V15" i="24"/>
  <c r="V5" i="24" s="1"/>
  <c r="U15" i="24"/>
  <c r="U5" i="24" s="1"/>
  <c r="T15" i="24"/>
  <c r="T5" i="24" s="1"/>
  <c r="S15" i="24"/>
  <c r="S5" i="24" s="1"/>
  <c r="R15" i="24"/>
  <c r="R5" i="24" s="1"/>
  <c r="Q15" i="24"/>
  <c r="Q5" i="24" s="1"/>
  <c r="P15" i="24"/>
  <c r="P5" i="24" s="1"/>
  <c r="O5" i="24"/>
  <c r="N15" i="24"/>
  <c r="N5" i="24" s="1"/>
  <c r="M15" i="24"/>
  <c r="M5" i="24" s="1"/>
  <c r="L15" i="24"/>
  <c r="L5" i="24" s="1"/>
  <c r="K15" i="24"/>
  <c r="K5" i="24" s="1"/>
  <c r="J15" i="24"/>
  <c r="J5" i="24" s="1"/>
  <c r="I15" i="24"/>
  <c r="I5" i="24" s="1"/>
  <c r="H15" i="24"/>
  <c r="H5" i="24" s="1"/>
  <c r="G15" i="24"/>
  <c r="F15" i="24"/>
  <c r="F5" i="24" s="1"/>
  <c r="E15" i="24"/>
  <c r="E5" i="24" s="1"/>
  <c r="D15" i="24"/>
  <c r="D5" i="24" s="1"/>
  <c r="C15" i="24"/>
  <c r="AG5" i="24"/>
  <c r="AF5" i="24"/>
  <c r="X5" i="24"/>
  <c r="G5" i="24"/>
  <c r="C75" i="23"/>
  <c r="C74" i="23"/>
  <c r="C47" i="23"/>
  <c r="C73" i="23" s="1"/>
  <c r="AG41" i="23"/>
  <c r="AF41" i="23"/>
  <c r="AE41" i="23"/>
  <c r="AD41" i="23"/>
  <c r="AC41" i="23"/>
  <c r="AB41" i="23"/>
  <c r="AA41" i="23"/>
  <c r="Z41" i="23"/>
  <c r="Y41" i="23"/>
  <c r="X41" i="23"/>
  <c r="W41" i="23"/>
  <c r="V41" i="23"/>
  <c r="T41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C41" i="23"/>
  <c r="AH37" i="23"/>
  <c r="AG23" i="23"/>
  <c r="AF23" i="23"/>
  <c r="AE23" i="23"/>
  <c r="AD23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AG15" i="23"/>
  <c r="AG5" i="23" s="1"/>
  <c r="AF15" i="23"/>
  <c r="AF5" i="23" s="1"/>
  <c r="AE15" i="23"/>
  <c r="AE5" i="23" s="1"/>
  <c r="AD15" i="23"/>
  <c r="AD5" i="23" s="1"/>
  <c r="AC15" i="23"/>
  <c r="AC5" i="23" s="1"/>
  <c r="AB15" i="23"/>
  <c r="AB5" i="23" s="1"/>
  <c r="AA15" i="23"/>
  <c r="AA5" i="23" s="1"/>
  <c r="Z15" i="23"/>
  <c r="Z5" i="23" s="1"/>
  <c r="Y15" i="23"/>
  <c r="Y5" i="23" s="1"/>
  <c r="X15" i="23"/>
  <c r="X5" i="23" s="1"/>
  <c r="W15" i="23"/>
  <c r="W5" i="23" s="1"/>
  <c r="V15" i="23"/>
  <c r="V5" i="23" s="1"/>
  <c r="U15" i="23"/>
  <c r="U5" i="23" s="1"/>
  <c r="T15" i="23"/>
  <c r="T5" i="23" s="1"/>
  <c r="S15" i="23"/>
  <c r="S5" i="23" s="1"/>
  <c r="R15" i="23"/>
  <c r="R5" i="23" s="1"/>
  <c r="Q15" i="23"/>
  <c r="Q5" i="23" s="1"/>
  <c r="P15" i="23"/>
  <c r="P5" i="23" s="1"/>
  <c r="O15" i="23"/>
  <c r="O5" i="23" s="1"/>
  <c r="N15" i="23"/>
  <c r="N5" i="23" s="1"/>
  <c r="M15" i="23"/>
  <c r="M5" i="23" s="1"/>
  <c r="L15" i="23"/>
  <c r="L5" i="23" s="1"/>
  <c r="K15" i="23"/>
  <c r="K5" i="23" s="1"/>
  <c r="J15" i="23"/>
  <c r="J5" i="23" s="1"/>
  <c r="I15" i="23"/>
  <c r="I5" i="23" s="1"/>
  <c r="H15" i="23"/>
  <c r="H5" i="23" s="1"/>
  <c r="G15" i="23"/>
  <c r="G5" i="23" s="1"/>
  <c r="F15" i="23"/>
  <c r="F5" i="23" s="1"/>
  <c r="E15" i="23"/>
  <c r="E5" i="23" s="1"/>
  <c r="D15" i="23"/>
  <c r="D5" i="23" s="1"/>
  <c r="C15" i="23"/>
  <c r="C75" i="22"/>
  <c r="C74" i="22"/>
  <c r="AH47" i="22"/>
  <c r="C73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AH37" i="22"/>
  <c r="AG23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C23" i="22"/>
  <c r="AG15" i="22"/>
  <c r="AG5" i="22" s="1"/>
  <c r="AF15" i="22"/>
  <c r="AF5" i="22" s="1"/>
  <c r="AE15" i="22"/>
  <c r="AE5" i="22" s="1"/>
  <c r="AD15" i="22"/>
  <c r="AC15" i="22"/>
  <c r="AC5" i="22" s="1"/>
  <c r="AB15" i="22"/>
  <c r="AB5" i="22" s="1"/>
  <c r="AA15" i="22"/>
  <c r="AA5" i="22" s="1"/>
  <c r="Z15" i="22"/>
  <c r="Z5" i="22" s="1"/>
  <c r="Y15" i="22"/>
  <c r="Y5" i="22" s="1"/>
  <c r="X15" i="22"/>
  <c r="X5" i="22" s="1"/>
  <c r="W15" i="22"/>
  <c r="V15" i="22"/>
  <c r="V5" i="22" s="1"/>
  <c r="U15" i="22"/>
  <c r="T15" i="22"/>
  <c r="T5" i="22" s="1"/>
  <c r="S15" i="22"/>
  <c r="S5" i="22" s="1"/>
  <c r="R15" i="22"/>
  <c r="R5" i="22" s="1"/>
  <c r="Q15" i="22"/>
  <c r="Q5" i="22" s="1"/>
  <c r="P15" i="22"/>
  <c r="O15" i="22"/>
  <c r="O5" i="22" s="1"/>
  <c r="N15" i="22"/>
  <c r="N5" i="22" s="1"/>
  <c r="M15" i="22"/>
  <c r="M5" i="22" s="1"/>
  <c r="L15" i="22"/>
  <c r="L5" i="22" s="1"/>
  <c r="K15" i="22"/>
  <c r="K5" i="22" s="1"/>
  <c r="J15" i="22"/>
  <c r="J5" i="22" s="1"/>
  <c r="I15" i="22"/>
  <c r="I5" i="22" s="1"/>
  <c r="H15" i="22"/>
  <c r="H5" i="22" s="1"/>
  <c r="G15" i="22"/>
  <c r="G5" i="22" s="1"/>
  <c r="F15" i="22"/>
  <c r="F5" i="22" s="1"/>
  <c r="E15" i="22"/>
  <c r="E5" i="22" s="1"/>
  <c r="D15" i="22"/>
  <c r="D5" i="22" s="1"/>
  <c r="C15" i="22"/>
  <c r="AD5" i="22"/>
  <c r="W5" i="22"/>
  <c r="U5" i="22"/>
  <c r="P5" i="22"/>
  <c r="C75" i="21"/>
  <c r="C74" i="21"/>
  <c r="C73" i="21"/>
  <c r="AG41" i="21"/>
  <c r="AF41" i="21"/>
  <c r="AE41" i="21"/>
  <c r="AD41" i="21"/>
  <c r="AC41" i="21"/>
  <c r="AB41" i="21"/>
  <c r="AA41" i="21"/>
  <c r="Z41" i="21"/>
  <c r="Y41" i="21"/>
  <c r="X41" i="21"/>
  <c r="W41" i="21"/>
  <c r="V41" i="21"/>
  <c r="U41" i="21"/>
  <c r="T41" i="21"/>
  <c r="S41" i="21"/>
  <c r="R41" i="21"/>
  <c r="Q41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C41" i="21"/>
  <c r="AH37" i="21"/>
  <c r="AG23" i="21"/>
  <c r="AF23" i="21"/>
  <c r="AE23" i="21"/>
  <c r="AD23" i="21"/>
  <c r="AC23" i="21"/>
  <c r="AB23" i="21"/>
  <c r="AA23" i="21"/>
  <c r="Z23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AG15" i="21"/>
  <c r="AG5" i="21" s="1"/>
  <c r="AF15" i="21"/>
  <c r="AF5" i="21" s="1"/>
  <c r="AE15" i="21"/>
  <c r="AE5" i="21" s="1"/>
  <c r="AD15" i="21"/>
  <c r="AD5" i="21" s="1"/>
  <c r="AC15" i="21"/>
  <c r="AC5" i="21" s="1"/>
  <c r="AB15" i="21"/>
  <c r="AB5" i="21" s="1"/>
  <c r="AA15" i="21"/>
  <c r="AA5" i="21" s="1"/>
  <c r="Z15" i="21"/>
  <c r="Z5" i="21" s="1"/>
  <c r="Y15" i="21"/>
  <c r="Y5" i="21" s="1"/>
  <c r="X15" i="21"/>
  <c r="X5" i="21" s="1"/>
  <c r="W15" i="21"/>
  <c r="W5" i="21" s="1"/>
  <c r="V15" i="21"/>
  <c r="V5" i="21" s="1"/>
  <c r="U15" i="21"/>
  <c r="U5" i="21" s="1"/>
  <c r="T15" i="21"/>
  <c r="T5" i="21" s="1"/>
  <c r="S15" i="21"/>
  <c r="R15" i="21"/>
  <c r="R5" i="21" s="1"/>
  <c r="Q15" i="21"/>
  <c r="Q5" i="21" s="1"/>
  <c r="P15" i="21"/>
  <c r="P5" i="21" s="1"/>
  <c r="O15" i="21"/>
  <c r="O5" i="21" s="1"/>
  <c r="N15" i="21"/>
  <c r="N5" i="21" s="1"/>
  <c r="M15" i="21"/>
  <c r="M5" i="21" s="1"/>
  <c r="L15" i="21"/>
  <c r="L5" i="21" s="1"/>
  <c r="K15" i="21"/>
  <c r="J15" i="21"/>
  <c r="J5" i="21" s="1"/>
  <c r="I15" i="21"/>
  <c r="H15" i="21"/>
  <c r="H5" i="21" s="1"/>
  <c r="G15" i="21"/>
  <c r="G5" i="21" s="1"/>
  <c r="F15" i="21"/>
  <c r="F5" i="21" s="1"/>
  <c r="E15" i="21"/>
  <c r="E5" i="21" s="1"/>
  <c r="D15" i="21"/>
  <c r="D5" i="21" s="1"/>
  <c r="S5" i="21"/>
  <c r="K5" i="21"/>
  <c r="I5" i="21"/>
  <c r="C75" i="20"/>
  <c r="C74" i="20"/>
  <c r="C47" i="20"/>
  <c r="C73" i="20" s="1"/>
  <c r="AG41" i="20"/>
  <c r="AF41" i="20"/>
  <c r="AE41" i="20"/>
  <c r="AD41" i="20"/>
  <c r="AC41" i="20"/>
  <c r="AB41" i="20"/>
  <c r="AA41" i="20"/>
  <c r="Z41" i="20"/>
  <c r="Y41" i="20"/>
  <c r="X41" i="20"/>
  <c r="W41" i="20"/>
  <c r="V41" i="20"/>
  <c r="U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D41" i="20"/>
  <c r="C41" i="20"/>
  <c r="AH37" i="20"/>
  <c r="AG23" i="20"/>
  <c r="AF23" i="20"/>
  <c r="AE23" i="20"/>
  <c r="AD23" i="20"/>
  <c r="AC23" i="20"/>
  <c r="AB23" i="20"/>
  <c r="AA23" i="20"/>
  <c r="Z23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E23" i="20"/>
  <c r="D23" i="20"/>
  <c r="C23" i="20"/>
  <c r="AG15" i="20"/>
  <c r="AG5" i="20" s="1"/>
  <c r="AF15" i="20"/>
  <c r="AF5" i="20" s="1"/>
  <c r="AE15" i="20"/>
  <c r="AE5" i="20" s="1"/>
  <c r="AD15" i="20"/>
  <c r="AD5" i="20" s="1"/>
  <c r="AC15" i="20"/>
  <c r="AC5" i="20" s="1"/>
  <c r="AB15" i="20"/>
  <c r="AB5" i="20" s="1"/>
  <c r="AA15" i="20"/>
  <c r="AA5" i="20" s="1"/>
  <c r="Z15" i="20"/>
  <c r="Z5" i="20" s="1"/>
  <c r="Y15" i="20"/>
  <c r="Y5" i="20" s="1"/>
  <c r="X15" i="20"/>
  <c r="X5" i="20" s="1"/>
  <c r="W15" i="20"/>
  <c r="W5" i="20" s="1"/>
  <c r="V15" i="20"/>
  <c r="V5" i="20" s="1"/>
  <c r="U15" i="20"/>
  <c r="U5" i="20" s="1"/>
  <c r="T15" i="20"/>
  <c r="T5" i="20" s="1"/>
  <c r="S15" i="20"/>
  <c r="S5" i="20" s="1"/>
  <c r="R15" i="20"/>
  <c r="R5" i="20" s="1"/>
  <c r="Q15" i="20"/>
  <c r="Q5" i="20" s="1"/>
  <c r="P15" i="20"/>
  <c r="P5" i="20" s="1"/>
  <c r="O15" i="20"/>
  <c r="O5" i="20" s="1"/>
  <c r="N15" i="20"/>
  <c r="N5" i="20" s="1"/>
  <c r="M15" i="20"/>
  <c r="M5" i="20" s="1"/>
  <c r="L15" i="20"/>
  <c r="L5" i="20" s="1"/>
  <c r="K15" i="20"/>
  <c r="K5" i="20" s="1"/>
  <c r="J15" i="20"/>
  <c r="J5" i="20" s="1"/>
  <c r="I5" i="20"/>
  <c r="H5" i="20"/>
  <c r="G15" i="20"/>
  <c r="G5" i="20" s="1"/>
  <c r="F15" i="20"/>
  <c r="F5" i="20" s="1"/>
  <c r="E15" i="20"/>
  <c r="E5" i="20" s="1"/>
  <c r="D15" i="20"/>
  <c r="D5" i="20" s="1"/>
  <c r="C15" i="20"/>
  <c r="C75" i="19"/>
  <c r="C74" i="19"/>
  <c r="C73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N41" i="19"/>
  <c r="M41" i="19"/>
  <c r="L41" i="19"/>
  <c r="K41" i="19"/>
  <c r="J41" i="19"/>
  <c r="I41" i="19"/>
  <c r="H41" i="19"/>
  <c r="G41" i="19"/>
  <c r="F41" i="19"/>
  <c r="E41" i="19"/>
  <c r="D41" i="19"/>
  <c r="AH37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AG15" i="19"/>
  <c r="AG5" i="19" s="1"/>
  <c r="AF15" i="19"/>
  <c r="AE15" i="19"/>
  <c r="AE5" i="19" s="1"/>
  <c r="AD15" i="19"/>
  <c r="AD5" i="19" s="1"/>
  <c r="AC15" i="19"/>
  <c r="AC5" i="19" s="1"/>
  <c r="AB15" i="19"/>
  <c r="AB5" i="19" s="1"/>
  <c r="AA15" i="19"/>
  <c r="AA5" i="19" s="1"/>
  <c r="Z15" i="19"/>
  <c r="Z5" i="19" s="1"/>
  <c r="Y15" i="19"/>
  <c r="Y5" i="19" s="1"/>
  <c r="X15" i="19"/>
  <c r="W15" i="19"/>
  <c r="W5" i="19" s="1"/>
  <c r="V15" i="19"/>
  <c r="V5" i="19" s="1"/>
  <c r="U15" i="19"/>
  <c r="U5" i="19" s="1"/>
  <c r="T15" i="19"/>
  <c r="T5" i="19" s="1"/>
  <c r="S15" i="19"/>
  <c r="S5" i="19" s="1"/>
  <c r="R15" i="19"/>
  <c r="R5" i="19" s="1"/>
  <c r="Q15" i="19"/>
  <c r="Q5" i="19" s="1"/>
  <c r="P15" i="19"/>
  <c r="O15" i="19"/>
  <c r="O5" i="19" s="1"/>
  <c r="N15" i="19"/>
  <c r="N5" i="19" s="1"/>
  <c r="M15" i="19"/>
  <c r="M5" i="19" s="1"/>
  <c r="L15" i="19"/>
  <c r="L5" i="19" s="1"/>
  <c r="K15" i="19"/>
  <c r="K5" i="19" s="1"/>
  <c r="J15" i="19"/>
  <c r="J5" i="19" s="1"/>
  <c r="I15" i="19"/>
  <c r="I5" i="19" s="1"/>
  <c r="H15" i="19"/>
  <c r="G15" i="19"/>
  <c r="F15" i="19"/>
  <c r="F5" i="19" s="1"/>
  <c r="E15" i="19"/>
  <c r="E5" i="19" s="1"/>
  <c r="D15" i="19"/>
  <c r="D5" i="19" s="1"/>
  <c r="C75" i="18"/>
  <c r="C74" i="18"/>
  <c r="C47" i="18"/>
  <c r="C73" i="18" s="1"/>
  <c r="AG41" i="18"/>
  <c r="AF41" i="18"/>
  <c r="AE41" i="18"/>
  <c r="AD41" i="18"/>
  <c r="AC41" i="18"/>
  <c r="AB41" i="18"/>
  <c r="AA41" i="18"/>
  <c r="Z41" i="18"/>
  <c r="Y41" i="18"/>
  <c r="X41" i="18"/>
  <c r="W41" i="18"/>
  <c r="V41" i="18"/>
  <c r="U41" i="18"/>
  <c r="T41" i="18"/>
  <c r="S41" i="18"/>
  <c r="R41" i="18"/>
  <c r="P41" i="18"/>
  <c r="O41" i="18"/>
  <c r="N41" i="18"/>
  <c r="K41" i="18"/>
  <c r="J41" i="18"/>
  <c r="I41" i="18"/>
  <c r="H41" i="18"/>
  <c r="G41" i="18"/>
  <c r="F41" i="18"/>
  <c r="E41" i="18"/>
  <c r="D41" i="18"/>
  <c r="C41" i="18"/>
  <c r="AH37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AG15" i="18"/>
  <c r="AG5" i="18" s="1"/>
  <c r="AF15" i="18"/>
  <c r="AF5" i="18" s="1"/>
  <c r="AE15" i="18"/>
  <c r="AE5" i="18" s="1"/>
  <c r="AD15" i="18"/>
  <c r="AD5" i="18" s="1"/>
  <c r="AC15" i="18"/>
  <c r="AC5" i="18" s="1"/>
  <c r="AB15" i="18"/>
  <c r="AB5" i="18" s="1"/>
  <c r="AA15" i="18"/>
  <c r="AA5" i="18" s="1"/>
  <c r="Z15" i="18"/>
  <c r="Z5" i="18" s="1"/>
  <c r="Y15" i="18"/>
  <c r="Y5" i="18" s="1"/>
  <c r="X15" i="18"/>
  <c r="X5" i="18" s="1"/>
  <c r="W15" i="18"/>
  <c r="W5" i="18" s="1"/>
  <c r="V15" i="18"/>
  <c r="V5" i="18" s="1"/>
  <c r="U15" i="18"/>
  <c r="U5" i="18" s="1"/>
  <c r="T15" i="18"/>
  <c r="T5" i="18" s="1"/>
  <c r="S15" i="18"/>
  <c r="S5" i="18" s="1"/>
  <c r="R15" i="18"/>
  <c r="R5" i="18" s="1"/>
  <c r="Q15" i="18"/>
  <c r="Q5" i="18" s="1"/>
  <c r="P15" i="18"/>
  <c r="P5" i="18" s="1"/>
  <c r="O5" i="18"/>
  <c r="N15" i="18"/>
  <c r="N5" i="18" s="1"/>
  <c r="M15" i="18"/>
  <c r="M5" i="18" s="1"/>
  <c r="L15" i="18"/>
  <c r="L5" i="18" s="1"/>
  <c r="K15" i="18"/>
  <c r="K5" i="18" s="1"/>
  <c r="J15" i="18"/>
  <c r="J5" i="18" s="1"/>
  <c r="I15" i="18"/>
  <c r="I5" i="18" s="1"/>
  <c r="H15" i="18"/>
  <c r="H5" i="18" s="1"/>
  <c r="G15" i="18"/>
  <c r="G5" i="18" s="1"/>
  <c r="F15" i="18"/>
  <c r="F5" i="18" s="1"/>
  <c r="E15" i="18"/>
  <c r="E5" i="18" s="1"/>
  <c r="D15" i="18"/>
  <c r="D5" i="18" s="1"/>
  <c r="C15" i="18"/>
  <c r="C75" i="16"/>
  <c r="C74" i="16"/>
  <c r="C47" i="16"/>
  <c r="C73" i="16" s="1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1" i="16"/>
  <c r="D41" i="16"/>
  <c r="C41" i="16"/>
  <c r="AH37" i="16"/>
  <c r="AG23" i="16"/>
  <c r="AF23" i="16"/>
  <c r="AE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AG15" i="16"/>
  <c r="AG5" i="16" s="1"/>
  <c r="AF15" i="16"/>
  <c r="AF5" i="16" s="1"/>
  <c r="AE15" i="16"/>
  <c r="AE5" i="16" s="1"/>
  <c r="AD15" i="16"/>
  <c r="AD5" i="16" s="1"/>
  <c r="AC15" i="16"/>
  <c r="AC5" i="16" s="1"/>
  <c r="AB15" i="16"/>
  <c r="AB5" i="16" s="1"/>
  <c r="AA15" i="16"/>
  <c r="AA5" i="16" s="1"/>
  <c r="Z15" i="16"/>
  <c r="Z5" i="16" s="1"/>
  <c r="Y15" i="16"/>
  <c r="Y5" i="16" s="1"/>
  <c r="X15" i="16"/>
  <c r="X5" i="16" s="1"/>
  <c r="W15" i="16"/>
  <c r="W5" i="16" s="1"/>
  <c r="V15" i="16"/>
  <c r="V5" i="16" s="1"/>
  <c r="U15" i="16"/>
  <c r="U5" i="16" s="1"/>
  <c r="T15" i="16"/>
  <c r="T5" i="16" s="1"/>
  <c r="S15" i="16"/>
  <c r="S5" i="16" s="1"/>
  <c r="R15" i="16"/>
  <c r="R5" i="16" s="1"/>
  <c r="Q15" i="16"/>
  <c r="Q5" i="16" s="1"/>
  <c r="P15" i="16"/>
  <c r="P5" i="16" s="1"/>
  <c r="O15" i="16"/>
  <c r="O5" i="16" s="1"/>
  <c r="N15" i="16"/>
  <c r="N5" i="16" s="1"/>
  <c r="M15" i="16"/>
  <c r="M5" i="16" s="1"/>
  <c r="L15" i="16"/>
  <c r="L5" i="16" s="1"/>
  <c r="K15" i="16"/>
  <c r="K5" i="16" s="1"/>
  <c r="J15" i="16"/>
  <c r="J5" i="16" s="1"/>
  <c r="I15" i="16"/>
  <c r="I5" i="16" s="1"/>
  <c r="H15" i="16"/>
  <c r="H5" i="16" s="1"/>
  <c r="G15" i="16"/>
  <c r="G5" i="16" s="1"/>
  <c r="F15" i="16"/>
  <c r="F5" i="16" s="1"/>
  <c r="E15" i="16"/>
  <c r="E5" i="16" s="1"/>
  <c r="D15" i="16"/>
  <c r="D5" i="16" s="1"/>
  <c r="C15" i="16"/>
  <c r="C5" i="16" s="1"/>
  <c r="C75" i="15"/>
  <c r="C74" i="15"/>
  <c r="C47" i="15"/>
  <c r="C73" i="15" s="1"/>
  <c r="AG41" i="15"/>
  <c r="AF41" i="15"/>
  <c r="AE41" i="15"/>
  <c r="AD41" i="15"/>
  <c r="AC41" i="15"/>
  <c r="AB41" i="15"/>
  <c r="AA41" i="15"/>
  <c r="Z41" i="15"/>
  <c r="Y41" i="15"/>
  <c r="X41" i="15"/>
  <c r="W41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C41" i="15"/>
  <c r="AH37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AG15" i="15"/>
  <c r="AF15" i="15"/>
  <c r="AF5" i="15" s="1"/>
  <c r="AE15" i="15"/>
  <c r="AE5" i="15" s="1"/>
  <c r="AD15" i="15"/>
  <c r="AD5" i="15" s="1"/>
  <c r="AC15" i="15"/>
  <c r="AC5" i="15" s="1"/>
  <c r="AB15" i="15"/>
  <c r="AB5" i="15" s="1"/>
  <c r="AA15" i="15"/>
  <c r="AA5" i="15" s="1"/>
  <c r="Z15" i="15"/>
  <c r="Z5" i="15" s="1"/>
  <c r="Y15" i="15"/>
  <c r="X15" i="15"/>
  <c r="X5" i="15" s="1"/>
  <c r="V15" i="15"/>
  <c r="U15" i="15"/>
  <c r="U5" i="15" s="1"/>
  <c r="T15" i="15"/>
  <c r="T5" i="15" s="1"/>
  <c r="S15" i="15"/>
  <c r="S5" i="15" s="1"/>
  <c r="R15" i="15"/>
  <c r="R5" i="15" s="1"/>
  <c r="Q15" i="15"/>
  <c r="Q5" i="15" s="1"/>
  <c r="P15" i="15"/>
  <c r="P5" i="15" s="1"/>
  <c r="O15" i="15"/>
  <c r="O5" i="15" s="1"/>
  <c r="N15" i="15"/>
  <c r="N5" i="15" s="1"/>
  <c r="M15" i="15"/>
  <c r="M5" i="15" s="1"/>
  <c r="L15" i="15"/>
  <c r="L5" i="15" s="1"/>
  <c r="K15" i="15"/>
  <c r="K5" i="15" s="1"/>
  <c r="J15" i="15"/>
  <c r="J5" i="15" s="1"/>
  <c r="I15" i="15"/>
  <c r="I5" i="15" s="1"/>
  <c r="H15" i="15"/>
  <c r="H5" i="15" s="1"/>
  <c r="G15" i="15"/>
  <c r="G5" i="15" s="1"/>
  <c r="F15" i="15"/>
  <c r="F5" i="15" s="1"/>
  <c r="E15" i="15"/>
  <c r="E5" i="15" s="1"/>
  <c r="D15" i="15"/>
  <c r="D5" i="15" s="1"/>
  <c r="C15" i="15"/>
  <c r="AG5" i="15"/>
  <c r="Y5" i="15"/>
  <c r="W5" i="15"/>
  <c r="V5" i="15"/>
  <c r="AH37" i="1"/>
  <c r="C47" i="1"/>
  <c r="AH47" i="1" s="1"/>
  <c r="D41" i="1"/>
  <c r="E41" i="1"/>
  <c r="F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Z41" i="1"/>
  <c r="AA41" i="1"/>
  <c r="AB41" i="1"/>
  <c r="AC41" i="1"/>
  <c r="AD41" i="1"/>
  <c r="AE41" i="1"/>
  <c r="AF41" i="1"/>
  <c r="AG41" i="1"/>
  <c r="C41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C23" i="1"/>
  <c r="D15" i="1"/>
  <c r="D5" i="1" s="1"/>
  <c r="E15" i="1"/>
  <c r="E5" i="1" s="1"/>
  <c r="F15" i="1"/>
  <c r="F5" i="1" s="1"/>
  <c r="G15" i="1"/>
  <c r="G5" i="1" s="1"/>
  <c r="H15" i="1"/>
  <c r="H5" i="1" s="1"/>
  <c r="I15" i="1"/>
  <c r="I5" i="1" s="1"/>
  <c r="J15" i="1"/>
  <c r="J5" i="1" s="1"/>
  <c r="K15" i="1"/>
  <c r="K5" i="1" s="1"/>
  <c r="L15" i="1"/>
  <c r="L5" i="1" s="1"/>
  <c r="M15" i="1"/>
  <c r="M5" i="1" s="1"/>
  <c r="N15" i="1"/>
  <c r="N5" i="1" s="1"/>
  <c r="O15" i="1"/>
  <c r="O5" i="1" s="1"/>
  <c r="P15" i="1"/>
  <c r="P5" i="1" s="1"/>
  <c r="Q15" i="1"/>
  <c r="Q5" i="1" s="1"/>
  <c r="R15" i="1"/>
  <c r="R5" i="1" s="1"/>
  <c r="S15" i="1"/>
  <c r="S5" i="1" s="1"/>
  <c r="T15" i="1"/>
  <c r="T5" i="1" s="1"/>
  <c r="U15" i="1"/>
  <c r="U5" i="1" s="1"/>
  <c r="V15" i="1"/>
  <c r="V5" i="1" s="1"/>
  <c r="W15" i="1"/>
  <c r="W5" i="1" s="1"/>
  <c r="X15" i="1"/>
  <c r="X5" i="1" s="1"/>
  <c r="Y5" i="1"/>
  <c r="Z15" i="1"/>
  <c r="Z5" i="1" s="1"/>
  <c r="AA15" i="1"/>
  <c r="AA5" i="1" s="1"/>
  <c r="AB15" i="1"/>
  <c r="AB5" i="1" s="1"/>
  <c r="AC15" i="1"/>
  <c r="AC5" i="1" s="1"/>
  <c r="AD15" i="1"/>
  <c r="AD5" i="1" s="1"/>
  <c r="AE15" i="1"/>
  <c r="AE5" i="1" s="1"/>
  <c r="AF15" i="1"/>
  <c r="AF5" i="1" s="1"/>
  <c r="AG15" i="1"/>
  <c r="AG5" i="1" s="1"/>
  <c r="C15" i="1"/>
  <c r="C5" i="1" s="1"/>
  <c r="X5" i="19" l="1"/>
  <c r="P5" i="19"/>
  <c r="AF5" i="19"/>
  <c r="G5" i="19"/>
  <c r="H5" i="19"/>
  <c r="AH47" i="16"/>
  <c r="AH23" i="1"/>
  <c r="C72" i="1"/>
  <c r="AH41" i="1"/>
  <c r="C71" i="1"/>
  <c r="AH15" i="1"/>
  <c r="AH15" i="24"/>
  <c r="C5" i="24"/>
  <c r="AH5" i="24" s="1"/>
  <c r="AH23" i="24"/>
  <c r="AH41" i="24"/>
  <c r="AH23" i="23"/>
  <c r="AH15" i="23"/>
  <c r="AH41" i="23"/>
  <c r="C5" i="23"/>
  <c r="AH5" i="23" s="1"/>
  <c r="AH23" i="22"/>
  <c r="AH15" i="22"/>
  <c r="AH41" i="22"/>
  <c r="C5" i="22"/>
  <c r="AH5" i="22" s="1"/>
  <c r="AH15" i="21"/>
  <c r="AH23" i="21"/>
  <c r="AH41" i="21"/>
  <c r="AH23" i="20"/>
  <c r="AH15" i="20"/>
  <c r="C5" i="20"/>
  <c r="AH41" i="20"/>
  <c r="AH47" i="20"/>
  <c r="AH23" i="19"/>
  <c r="AH15" i="19"/>
  <c r="AH41" i="19"/>
  <c r="AH15" i="18"/>
  <c r="AH41" i="18"/>
  <c r="C5" i="18"/>
  <c r="AH5" i="18" s="1"/>
  <c r="AH23" i="18"/>
  <c r="AH23" i="16"/>
  <c r="AH41" i="16"/>
  <c r="AH15" i="16"/>
  <c r="AH5" i="16"/>
  <c r="AH23" i="15"/>
  <c r="AH15" i="15"/>
  <c r="AH41" i="15"/>
  <c r="C5" i="15"/>
  <c r="AH5" i="15" s="1"/>
  <c r="AH23" i="25"/>
  <c r="AH15" i="25"/>
  <c r="AH5" i="25"/>
  <c r="AH41" i="25"/>
  <c r="C71" i="25"/>
  <c r="C72" i="25"/>
  <c r="AH47" i="24"/>
  <c r="C71" i="24"/>
  <c r="C72" i="24"/>
  <c r="AH47" i="23"/>
  <c r="C72" i="23"/>
  <c r="C71" i="22"/>
  <c r="C72" i="22"/>
  <c r="C5" i="21"/>
  <c r="AH47" i="21"/>
  <c r="C72" i="21"/>
  <c r="C72" i="20"/>
  <c r="AH47" i="19"/>
  <c r="C72" i="19"/>
  <c r="AH47" i="18"/>
  <c r="C72" i="18"/>
  <c r="C71" i="16"/>
  <c r="C72" i="16"/>
  <c r="AH47" i="15"/>
  <c r="C72" i="15"/>
  <c r="AH5" i="1"/>
  <c r="AH5" i="19" l="1"/>
  <c r="C71" i="19"/>
  <c r="C71" i="23"/>
  <c r="C71" i="15"/>
  <c r="AH5" i="21"/>
  <c r="C71" i="21"/>
  <c r="AH5" i="20"/>
  <c r="C71" i="20"/>
  <c r="C75" i="1"/>
  <c r="C74" i="1"/>
  <c r="C73" i="1" l="1"/>
</calcChain>
</file>

<file path=xl/sharedStrings.xml><?xml version="1.0" encoding="utf-8"?>
<sst xmlns="http://schemas.openxmlformats.org/spreadsheetml/2006/main" count="1495" uniqueCount="889">
  <si>
    <t>PEMASUKAN</t>
  </si>
  <si>
    <t xml:space="preserve">TOTAL PEMASUKAN </t>
  </si>
  <si>
    <t>PENGELUARAN</t>
  </si>
  <si>
    <t>LABURA</t>
  </si>
  <si>
    <t>BELANJA KE BEN</t>
  </si>
  <si>
    <t>MEDAN</t>
  </si>
  <si>
    <t>SISA DEPOSIT</t>
  </si>
  <si>
    <t>BAJU (PCS)</t>
  </si>
  <si>
    <t>DTF (CM)</t>
  </si>
  <si>
    <t>DTF RESLLER (CM)</t>
  </si>
  <si>
    <t>DTF(CM)</t>
  </si>
  <si>
    <t>BAJU(PCS)</t>
  </si>
  <si>
    <t xml:space="preserve">TOTAL </t>
  </si>
  <si>
    <t xml:space="preserve">          REKAPAN SEPTEMBER 2024</t>
  </si>
  <si>
    <t>TOTAL DTF(CM)</t>
  </si>
  <si>
    <t>SISA PEMBAYARAN</t>
  </si>
  <si>
    <t>PIUTANG</t>
  </si>
  <si>
    <t>TOTAL</t>
  </si>
  <si>
    <t>TOTAL TF BRI</t>
  </si>
  <si>
    <t>TOTAL TF BNI</t>
  </si>
  <si>
    <t>TOTAL TF BCA</t>
  </si>
  <si>
    <t>TOTAL TF MANDIRI</t>
  </si>
  <si>
    <t>TOTAL TF CASH</t>
  </si>
  <si>
    <t>BERAS</t>
  </si>
  <si>
    <t>GALON</t>
  </si>
  <si>
    <t>BENSIN</t>
  </si>
  <si>
    <t>BUS</t>
  </si>
  <si>
    <t>GULA</t>
  </si>
  <si>
    <t>MIYAK GORENG</t>
  </si>
  <si>
    <t xml:space="preserve">GRUP TOTALAN </t>
  </si>
  <si>
    <t>PEMSUKAN</t>
  </si>
  <si>
    <t>SELISIH OMSET</t>
  </si>
  <si>
    <t>TOKPED</t>
  </si>
  <si>
    <t>SHOOPE</t>
  </si>
  <si>
    <t>MATERAI</t>
  </si>
  <si>
    <t>BELUM BAYAR</t>
  </si>
  <si>
    <t>SURYA UISU=290RB</t>
  </si>
  <si>
    <t>MASUKKAN TGL</t>
  </si>
  <si>
    <t>kak ririn = 3.015[45pcs]</t>
  </si>
  <si>
    <t>ck 6500 = 1.263rb</t>
  </si>
  <si>
    <t xml:space="preserve">JNT </t>
  </si>
  <si>
    <t>UTILITY</t>
  </si>
  <si>
    <t>BUBUK</t>
  </si>
  <si>
    <t>sje = 715rb [11pcs]</t>
  </si>
  <si>
    <t>sje = 600rb</t>
  </si>
  <si>
    <t>kak ririn =250rb</t>
  </si>
  <si>
    <t>SUNLIGHT</t>
  </si>
  <si>
    <t xml:space="preserve">INDOMIE </t>
  </si>
  <si>
    <t>DLL</t>
  </si>
  <si>
    <t>kak ririn = 6.510rb</t>
  </si>
  <si>
    <t>TOTAL CASH</t>
  </si>
  <si>
    <t>CK BG EVAN = 20RB(BCA) [ DTF ]</t>
  </si>
  <si>
    <t>CK ROLLER = 386RB(BCA) [ 5 PCS + DTF ]</t>
  </si>
  <si>
    <t>CK TAUFIK = 750RB(BRI) [ 12 PCS ]</t>
  </si>
  <si>
    <t>CK SOLAR = 400RB(BRI) [ PELUNASAN ]</t>
  </si>
  <si>
    <t>CK CICI C17 = 37RB(BCA)  [ 1 PCS ]</t>
  </si>
  <si>
    <t>TOKPED = 170RB(TOKPED) [ 3 METER ]</t>
  </si>
  <si>
    <t>CK TAUFIK = 339RB(BRI)  [ PELUNASAN ]</t>
  </si>
  <si>
    <t>CK LANGKAT = 232RB(BNI) [ 4 PCS ]</t>
  </si>
  <si>
    <t>CK NAJA = 96RB(BRI) [ DTF ]</t>
  </si>
  <si>
    <t>CK AGNES = 382RB(BCA) [  4 PCS ]</t>
  </si>
  <si>
    <t>CK SOLAR JAYA = 1.975RB(BCA) [ 30 PCS ]</t>
  </si>
  <si>
    <t>CK CREATIV SIGLIE = 132RB(BNI) [ DTF ]</t>
  </si>
  <si>
    <t>CK STEVANIE = 1.184RB(BCA) [ 12 PSC ]</t>
  </si>
  <si>
    <t>TOKPED = 50RB(TOKPED) [ 1 PCS ]</t>
  </si>
  <si>
    <t>CK DEVI = 7.920RB(BRI) [ 160 PCS ]</t>
  </si>
  <si>
    <t>CK FAUZAN = 128RB(BRI) [  DTF ]</t>
  </si>
  <si>
    <t xml:space="preserve">CK SHOOPE = 78RB(BCA) [ DTF ] </t>
  </si>
  <si>
    <t>CK TARUTUNG = 163RB(BRI)  [ 2 PCS ]</t>
  </si>
  <si>
    <t>CK SYAFRIANDI = 114RB(BRI) [  1 PCS ]</t>
  </si>
  <si>
    <t>CK FEBRI = 193RB(BRI) [  DTF ]</t>
  </si>
  <si>
    <t>CK RONAL ACEH = 618RB(BCA) [ 13 PCS ]</t>
  </si>
  <si>
    <t>CK ROLLER = 1.257RB(BCA) [  17PCS + DTF ]</t>
  </si>
  <si>
    <t>CK BG TUMANGGOR = 20RB(BRI) [ 2 PCS ]</t>
  </si>
  <si>
    <t>CK AZHIR = 1.580RB(BRI) [  PELUNASAN ]</t>
  </si>
  <si>
    <t>CK KETTUT = 261RB(BCA) [ 2 PCS ]</t>
  </si>
  <si>
    <t>CK 6659 A = 1.100RB(BNI) [11 PCS ]</t>
  </si>
  <si>
    <t>DEDI = 670RB(MANDIRI) [  10 PCS ]</t>
  </si>
  <si>
    <t>CK FAUZAN = 62RB(BCA) [ 1 PCS ]</t>
  </si>
  <si>
    <t>CK VIVI = 630RB(BCA) [ DTF ]</t>
  </si>
  <si>
    <t>CK PERCH = 20RB(CASH) [ DTF ]</t>
  </si>
  <si>
    <t>CK BG TOGU = 175RB(BRI) [ 2 PCS ]</t>
  </si>
  <si>
    <t>CK GRACE = 829RB(BCA) [ 13 PCS + DTF ]</t>
  </si>
  <si>
    <t>PAK ARNOL  = 310RB(BRI) [ 4 PCS + DTF ]</t>
  </si>
  <si>
    <t>CK NAJAH PRINTING = 1.954RB(BRI) [  26 PCS + DTF ]</t>
  </si>
  <si>
    <t>CK HAN = 295RB(BRI) [ 3 PCS ]</t>
  </si>
  <si>
    <t>CK LIUVASTER = 209RB(BNI) [  1 PCS ]</t>
  </si>
  <si>
    <t>CK SYAFRANDI = 330RB(BRI) [ 4 PCS ]</t>
  </si>
  <si>
    <t>CK ROLLER = 214RB(BCA) [  3 PCS ]</t>
  </si>
  <si>
    <t>CK PODA GRAFIKA = 5.050RB(BRI) [ 97PCS + DTF ]</t>
  </si>
  <si>
    <t>CK NOVITA = 280RB(BCA) [ 4 PCS ]</t>
  </si>
  <si>
    <t>TOKPED = 300RB(TOKPED) [  5 PCS ]</t>
  </si>
  <si>
    <t>CK RONAL ACEH = 475RB(BCA) [ 9 PCS ]</t>
  </si>
  <si>
    <t>CK IVANA = 85RB(BCA) [ 1 PCS ]</t>
  </si>
  <si>
    <t>CK 6559 A = 390RB(BRI) [ PELUNASAN ]</t>
  </si>
  <si>
    <t>CK ALI GUNAWAN = 550RB(CASH) [ PELUNASAN ]</t>
  </si>
  <si>
    <t>CK FEBRI = 252RB(BCA) [ DTF ]</t>
  </si>
  <si>
    <t>CK NOVITA = 210RB(BCA) [ 3 PCS ]</t>
  </si>
  <si>
    <t>CK BUGSULAN = 850RB(BRI) [  PELUNASAN ]</t>
  </si>
  <si>
    <t>CK CICI = 50RB(BCA) [ 1 PCS ]</t>
  </si>
  <si>
    <t>CK 10101 =  195RB(BRI) [ 1 PCS ]</t>
  </si>
  <si>
    <t>CK APOTEK = 1.265RB(BCA) [  12 PCS ]</t>
  </si>
  <si>
    <t>CK RONAL = 48RB(BCA) [  DTF ]</t>
  </si>
  <si>
    <t>CK 2120 A = 3.945RB(BRI) [ 35 PCS ]</t>
  </si>
  <si>
    <t>CK MAHARANI = 595RB(BRI) [ 7 PCS ]</t>
  </si>
  <si>
    <t>CK DADINIEL = 3.000RB(BNI) [ 56PCS ]</t>
  </si>
  <si>
    <t>CK ZOOKMAN = 420RB(BCA) [ 7 PCS ]</t>
  </si>
  <si>
    <t>CK PODA GRAFIKA = 480RB(BRI) [ 5 PCS + DTF ]</t>
  </si>
  <si>
    <t>TOKPED = 80RB(TOKPED) [ 1 PCS ]</t>
  </si>
  <si>
    <t>CK A BR LUBIS = 40RB(BRI) [ SABLON ]</t>
  </si>
  <si>
    <t>CK PODA = 100RB(BRI) [  2 PCS ]</t>
  </si>
  <si>
    <t>CK MAHARANI = 530RB(BCA) [ 6 PCS ]</t>
  </si>
  <si>
    <t>CK DANIEL = 1.480RB(BNI) [ PELUNASAN ]</t>
  </si>
  <si>
    <t>TOKPED = 40RB(TOKPED) [ DTF ]</t>
  </si>
  <si>
    <t>CK HASNAL = 205RB(BCA) [ 2 PCS ]</t>
  </si>
  <si>
    <t>CK VIVI = 45RB(BCA) [ DTF ]</t>
  </si>
  <si>
    <t>CK MAHARDIKA = 717RB(BCA) [ 14 PCS ]</t>
  </si>
  <si>
    <t>CK ADISTY = 1.384RB(BCA) [ 11 PCS ]</t>
  </si>
  <si>
    <t xml:space="preserve">CK AGUSTINO = 2.405RB(BRI) [ 50PCS ]  </t>
  </si>
  <si>
    <t>CK ERIC = 1.000RB(BRI) [ 20 PCS ]</t>
  </si>
  <si>
    <t>CK BG TARUTUNG = 78RB(BCA) [  1 PCS ]</t>
  </si>
  <si>
    <t>CK FAUZAN ACEH = 1.465RB(BCA) [  30 PCS ]</t>
  </si>
  <si>
    <t>CK SEMUT HITAM  = 109RB(BCA) [ 1 PCS ]</t>
  </si>
  <si>
    <t>CK ERIC MURDER = 485RB(BRI) [ PELUNASAN ]</t>
  </si>
  <si>
    <t>CK 3224  A = 660RB(BCA) [  7 PCS ]</t>
  </si>
  <si>
    <t>CK ADISTY = 27RB(BRI) [ ONGKIR ]</t>
  </si>
  <si>
    <t>CK MIKAEL = 220RB(BCA) [ SABLON ]</t>
  </si>
  <si>
    <t>CK MIMI = 450RB(BNI) [ 6 PCS ]</t>
  </si>
  <si>
    <t>PAK ARNOL = 460RB(BCA) [  6 PCS ]</t>
  </si>
  <si>
    <t>CK SAKTI = 250RB(BNI) [ 3 PCS ]</t>
  </si>
  <si>
    <t>CK MASA REKLAME = 33RB(BCA) [ PELUNASAN ]</t>
  </si>
  <si>
    <t>CK NAJA PRINTING =45RB(BRI) [ DTF ]</t>
  </si>
  <si>
    <t>CK PODA GRAFIKA = 6.124RB(BRI) [ 101PCS + DTF ]</t>
  </si>
  <si>
    <t>CK NIJ = 350RB (BRI) [ 5 PCS ]</t>
  </si>
  <si>
    <t>CK FAUZAN = 170RB(BCA) [ 2 PCS ]</t>
  </si>
  <si>
    <t>CK KAWAN BG OWEN = 2.035RB(BCA) [ 58 PCS ]</t>
  </si>
  <si>
    <t>CK ROYAL GYM = 985RB(BCA) [  14 PCS ]</t>
  </si>
  <si>
    <t>CK 2605 A = 450RB(CASH) [ SABLON ]</t>
  </si>
  <si>
    <t>TOKPED = 165RB(TOKPED) [ 3PCS ]</t>
  </si>
  <si>
    <t>CK YOHANA = 1.500RB(BRI) [ 25 PCS]</t>
  </si>
  <si>
    <t>CK AGUSTINO = 266RB(BRI) [ 5 PCS ]</t>
  </si>
  <si>
    <t>KAK IIN = 1.900RB (BRI) [  PELUNASAN ]</t>
  </si>
  <si>
    <t>CK RONAL ACEH  = 436RB(BCA) [ 10 PCS ]</t>
  </si>
  <si>
    <t>CK JUICE = 2.905RB(BCA)  [ 30 PCS ]</t>
  </si>
  <si>
    <t>CK ROLLER = 2.031RB(BCA) [ 36 PCS  + DTF ]</t>
  </si>
  <si>
    <t>TOKPED = 45RB(TOKPED) [ DTF ]</t>
  </si>
  <si>
    <t>CK 3261 A = 400RB(CASH) [ 13 PCS ]</t>
  </si>
  <si>
    <t>CK 3261 A = 600RB(CASH) [ PELUNASAN ]</t>
  </si>
  <si>
    <t>CK BG EVAN = 45RB(BCA) [  DTF ]</t>
  </si>
  <si>
    <t>CK ROLLER = 1021RB(BCA) [ 16PCS ]</t>
  </si>
  <si>
    <t>CK PERCH = 32RB(CASH) [  DTF ]</t>
  </si>
  <si>
    <t>SHOOPE = 220RB(SHOOPE) [  4 PCS ]</t>
  </si>
  <si>
    <t xml:space="preserve">CK JIMMI = 1.805RB(BCA) [  20 PCS ] </t>
  </si>
  <si>
    <t>CK ROYAL GYM = 290RB(BCA) [ 3 PCS ]</t>
  </si>
  <si>
    <t>CK DANIEL = 505RB(CASH) [  6PCS + SABLON ]</t>
  </si>
  <si>
    <t>CK FAUZAN = 105RB(BCA) [ 2 PCS ]</t>
  </si>
  <si>
    <t>TOKPED = 270RB(TOKPED) [ 6 PSC ]</t>
  </si>
  <si>
    <t>CK PODA = 6.100RB(MANDIRI) [  101 PCS + DTF ]</t>
  </si>
  <si>
    <t>CK COD = 168RB(CASH) [ 3 PCS ]</t>
  </si>
  <si>
    <t>CK MEY = 80RB(BCA) [  1 PCS ]</t>
  </si>
  <si>
    <t>KAWAN BG OWEN = 2.045RB(BCA) [ PELUNASAN ]</t>
  </si>
  <si>
    <t>CK JIMMY = 655RB(BCA) [ 7 PCS ]</t>
  </si>
  <si>
    <t>CK 313 A = 230RB(BCA) [ 3 PSC ]</t>
  </si>
  <si>
    <t>CK ROLLER = 766RB(BCA) [ 12PCS + DTF ]</t>
  </si>
  <si>
    <t>TOKPED 1 = 140RB(TOKPED) [ 2 PCS ]</t>
  </si>
  <si>
    <t>TOKPED 2 = 80RB(TOKPED) [ DTF ]</t>
  </si>
  <si>
    <t>CK YOHANA = 1.280RB(BRI) [ PELUNASAN]</t>
  </si>
  <si>
    <t>CK NAJA PRINTING = 214RB(BRI) [  2PCS + DTF ]</t>
  </si>
  <si>
    <t>CK JUICE = 1.835RB(BCA) [ 20 PCS ]</t>
  </si>
  <si>
    <t>CK ALPHACINO = 150RB(BCA) [  2 PCS ]</t>
  </si>
  <si>
    <t>CK FADLAN = 4.515RB(BNI) [ 80 PCS ]</t>
  </si>
  <si>
    <t>TOKPED = 205RB(TOKPED) [ 1 PCS ]</t>
  </si>
  <si>
    <t>CK ARFAIN = 302RB(BRI) [ DTF ]</t>
  </si>
  <si>
    <t>CK FEBRI = 234RB(BRI) [ DTF ]</t>
  </si>
  <si>
    <t>CK GINTING = 3.000RB(BNI) [ 47 PCS ]</t>
  </si>
  <si>
    <t>CK MEDLY = 57RB(BCA) [ DTF ]</t>
  </si>
  <si>
    <t>CK MONIKA = 225RB(BCA) [ SABLON ]1</t>
  </si>
  <si>
    <t>CK YORIS = 60RB(BCA) [ 1 PCS ]</t>
  </si>
  <si>
    <t>TOKPED = 65RB(TOKPED) [ 1 PCS ]</t>
  </si>
  <si>
    <t>CK GINTING = 1.515RB(BRI) [ PELUNASAN]</t>
  </si>
  <si>
    <t>CK ARFAIN = 50RB(BRI) [  DTF ]</t>
  </si>
  <si>
    <t>CK BG EVAN = 45RB(BRI) [ DTF ]</t>
  </si>
  <si>
    <t>CK 9001 A = 72RB(BRI) [  DTF ]</t>
  </si>
  <si>
    <t>CK 2549 A = 772RB(BCA) [  8 PCS]</t>
  </si>
  <si>
    <t>CK BARUS = 1.565RB(BRI) [ PELUNASAN ]</t>
  </si>
  <si>
    <t>PAK ARNOL = 88RB(BRI) [ PELUNASAN ]</t>
  </si>
  <si>
    <t>CK 7538 LW = 1.150RB(BCA) [ SABLON 150PCS ]</t>
  </si>
  <si>
    <t>BG ARIL = 500RB(CASH) [ DP ]</t>
  </si>
  <si>
    <t>CK 10147 A = 159RB(BRI)[ DTF ]</t>
  </si>
  <si>
    <t>CK MASA REKLAME = 37RB(BCA) [ PELUNASAN ]</t>
  </si>
  <si>
    <t>CK NAJA PRINTING = 64RB(BRI) [ DTF ]</t>
  </si>
  <si>
    <t>CK ARFAIN = 50RB(BRI) [ DTF ]</t>
  </si>
  <si>
    <t>CK 7538 LW = 2.000RB(BCA) [ PELUNASAN ]</t>
  </si>
  <si>
    <t>CK JUICE = 825RB(BCA) [ 8 PCS ]</t>
  </si>
  <si>
    <t>CK MAHARANI  = 595RB(BCA) [ 7 PCS ]</t>
  </si>
  <si>
    <t>CK JUANDA = 2.850RB(BNI) [ 40 PCS + DTF ]</t>
  </si>
  <si>
    <t>CK FAUZAN = 2.127RB(BNI) [ 24 PCS + DTF ]</t>
  </si>
  <si>
    <t>CK TOP LAUNDRY = 500RB(BCA) [  10 PCS ]</t>
  </si>
  <si>
    <t>CK TARUTUNG = 174RB(BRI) [ 2 PCS ]</t>
  </si>
  <si>
    <t>PAK ARNOL = 290RB(BRI) [ DTF + 4PCS ]</t>
  </si>
  <si>
    <t>CK 6001 = 63RB(BRI) [ DTF ]</t>
  </si>
  <si>
    <t>CK JASEN = 1.120RB(BCA) [ 16PCS ]</t>
  </si>
  <si>
    <t>CK ANGELINE = 80RB(BCA) [ 1PCS ]</t>
  </si>
  <si>
    <t>CK KETTUT = 261RB(BCA) [3 PCS ]</t>
  </si>
  <si>
    <t>CK TOP LAUNDRY = 670RB(CASH) [ PELUNASAN ]</t>
  </si>
  <si>
    <t>CK ANAK PKL = 545RB(CASH) [ PELUNASAN ]</t>
  </si>
  <si>
    <t>CK TARUTUNG = 100RB(BCA) [  1 PCS ]</t>
  </si>
  <si>
    <t>SHOOPE = 126RB(SHOOPE) [ 1 PCS ]</t>
  </si>
  <si>
    <t>CK LISA = 50RB(BCA) [ 1 PCS ]</t>
  </si>
  <si>
    <t>CK JONSON = 1000RB(BRI) [DP ]</t>
  </si>
  <si>
    <t>CK KABANJAHE = 850RBRB(CASH) [ BORDIR ]</t>
  </si>
  <si>
    <t>TOKPED = 160RB(TOKPED) [  DTF ]</t>
  </si>
  <si>
    <t>CK COD = 720RB(BNI) [ 12 PCS ]</t>
  </si>
  <si>
    <t>CK SHOOPE = 130RB(SHOOPE)  [ 2 PCS ]</t>
  </si>
  <si>
    <t>CK JUDHA = 805RB(BNI) [ 7 PCS ]</t>
  </si>
  <si>
    <t>CK 10172 A = 145RB(BRI) [ 2 PCS ]</t>
  </si>
  <si>
    <t>CK BARUS = 311RB(BCA) [ PELUNASAN]</t>
  </si>
  <si>
    <t>CK TOKPED = 55RB(TOKPED) [ DTF ]</t>
  </si>
  <si>
    <t>CK SHOOPE  = 65RB(SHOOPE) [ 1 PCS ]</t>
  </si>
  <si>
    <t>CK MAHARANI = 85RB(BCA) [ 1 PCS ]</t>
  </si>
  <si>
    <t>CK JASEN = 420RB(BCA) [ 6 PCS ]</t>
  </si>
  <si>
    <t>CK RB = 45RB(CSAH) [ SABLON ]</t>
  </si>
  <si>
    <t>CK UISU = 40.000RB(CASH) [  1039PCS ]</t>
  </si>
  <si>
    <t>CK TOP LAUNDRY = 100RB(BRI) [ 2 PCS ]</t>
  </si>
  <si>
    <t>CK REINT = 240RB(BCA) [ PELUNASAN ]</t>
  </si>
  <si>
    <t>TOKEPED = 45RB(TOKPED) [ 1 PCS ]</t>
  </si>
  <si>
    <t>CK BANK SUMUT = 5.000RB(BCA) [ 126 PCS ]</t>
  </si>
  <si>
    <t>CK BANK MANDIRI = 4.900RB(CASH) [ PELUNASAN ]</t>
  </si>
  <si>
    <t>CK ROLLER = 2.377RB(BCA) [ 31 PCS + DTF ]</t>
  </si>
  <si>
    <t>CK UISU = 46.860RB(CASH) [ PELUNASAN ]</t>
  </si>
  <si>
    <t>CK MEGA SALON = 100RB(BCA) [ 2 PCS ]</t>
  </si>
  <si>
    <t>CK MURAD = 1.500RB(BCA) [ PELUNASAN]</t>
  </si>
  <si>
    <t>CK DANIEL = 225RB(BNI) [ 3 PCS ]</t>
  </si>
  <si>
    <t>CK PANCING = 150RB(BRI) [ 3 PCS ]</t>
  </si>
  <si>
    <t>CK RONAL ACEH = 237RB(BCA) [ 6 PCS ]</t>
  </si>
  <si>
    <t>CK DANIEL = 75RB(BRI) [ 1 PCS ]</t>
  </si>
  <si>
    <t>CK BG EVAN = 9065RB(BCA) [  105PCS ]</t>
  </si>
  <si>
    <t>CK TOGU = 180RB(BRI) [2 PCS ]</t>
  </si>
  <si>
    <t>CK 3301 A = 179RB(BRI) [ 2 PCS ]</t>
  </si>
  <si>
    <t>CK KETUT  = 338RB(BCA) [ 4 PCS ]</t>
  </si>
  <si>
    <t>CK TOP LAUNDRY  = 700RB(BCA) [ PELUNASAN ]</t>
  </si>
  <si>
    <t>CK DEVI = 5.000RB(BNI) [ 488PCS ]</t>
  </si>
  <si>
    <t>CK AGUSTINO = 367RB(BRI) [ 7PCS ]</t>
  </si>
  <si>
    <t>CK JUANDA = 3.424RB(BNI) [  65PCS  + DTF ]</t>
  </si>
  <si>
    <t>CK PANCING = 140RB(CASH) [ PELUNASAN ]</t>
  </si>
  <si>
    <t xml:space="preserve">CK MASA REKLAME = 62RB(MANDIRI) [ DTF ] </t>
  </si>
  <si>
    <t>CK VIA BARUS  = 340RB(BNI) [ 6 PCS ]</t>
  </si>
  <si>
    <t>CK JUANDA = 60RB(BRI) [ 1 PCS ]</t>
  </si>
  <si>
    <t>CK NAJAH PRINTING = 573RB(BRI) [ DTF ]</t>
  </si>
  <si>
    <t>CK GINTING = 1.000RB(BRI) [ 30PCS ]</t>
  </si>
  <si>
    <t>CK DEVI = 11.952RB(BRI) [ DP ]</t>
  </si>
  <si>
    <t>CK GINTING = 1.100RB(BRI) [ PELUNASAN ]</t>
  </si>
  <si>
    <t>CK MARSHAL = 1.585RB(BNI) [ 24 PCS ]</t>
  </si>
  <si>
    <t>CK BG EVAN = 5.914RB(BCA) [ 96PCS ]</t>
  </si>
  <si>
    <t>CK ARFAIN = 241RB(BRI) [ DTF ]</t>
  </si>
  <si>
    <t>SHOOPE = 100RB(SHOOPE) [2  PCS ]</t>
  </si>
  <si>
    <t>CK BTS = 1.615RB(BCA) [28 PSC ]</t>
  </si>
  <si>
    <t>CK JHONSON = 3.250RB(BRI) [ PELUNASAN ]</t>
  </si>
  <si>
    <t>CK MARTIN = 1.900RB(BCA) [ 36 PSC ]</t>
  </si>
  <si>
    <t>CK MARTIN = 980RB(BNI) [ PELUNASAN ]</t>
  </si>
  <si>
    <t>CK ADRYANUS = 145RB(BRI) [  2 PCS ]</t>
  </si>
  <si>
    <t>CK JUSUF = 100RB(TOKPED) [ DTF ]</t>
  </si>
  <si>
    <t>CK KIRSTOPER = 45RB(BRI) [ DTF ]</t>
  </si>
  <si>
    <t>CK ELLA = 165RB(BCA) [ 2 PCS ]</t>
  </si>
  <si>
    <t>CK REIN = 565RB(BCA) [ 7 PCS ]</t>
  </si>
  <si>
    <t>CK FENNY = 90RB(BCA) [ 1 PCS ]</t>
  </si>
  <si>
    <t>CK FAUZAN = 2.036RB(BNI) [ 40PCS + DTF ]</t>
  </si>
  <si>
    <t>BG EVAN = 190RB(CASH) [ DTF + CREWNECK ]</t>
  </si>
  <si>
    <t>JOKO = 210RB(MANDIRI) [ 3 PCS ]</t>
  </si>
  <si>
    <t>JULIO = 74RB(CSAH) [  1 PCS ]</t>
  </si>
  <si>
    <t>TOKPED = 188RB(TOKPED) [ 4 PCS ]</t>
  </si>
  <si>
    <t>TOKPED = 130RB(TOKPED) [ 1 PCS ]</t>
  </si>
  <si>
    <t>CK PODA = 153RB(BRI) [ DTF ]</t>
  </si>
  <si>
    <t>PAK ARNOL =  35RB(BRI) [ PELUNASAN ]</t>
  </si>
  <si>
    <t>CK FAJAR AYU = 3.000RB(BCA) [55 PCS ]</t>
  </si>
  <si>
    <t>CK TOKPED = 320RB(TOKPED) [  4 PCS ]</t>
  </si>
  <si>
    <t>CK FAJAR AYU = 1.487RB(BCA) [ PELUNASAN ]</t>
  </si>
  <si>
    <t>TOKPED = 195RB(TOKPED) [ 3 PSC ]</t>
  </si>
  <si>
    <t xml:space="preserve">CK FAUZAN = 2.268RB(BCA) [ 36 PCS ] </t>
  </si>
  <si>
    <t xml:space="preserve">CK HOTHITA = 2.500RB(BCA) [ 30PCS ] </t>
  </si>
  <si>
    <t>CK CAPPELA = 3.076RB(BCA) [ PELUNASAN ]</t>
  </si>
  <si>
    <t>CK JUANDA = 710RB(BRI) [ 8 PCS ]</t>
  </si>
  <si>
    <t>CK PODA = 2.850RB(BRI) [ 43PCS + DTF ]</t>
  </si>
  <si>
    <t>CK ANDI = 1.929RB(BNI) [ 31 PCS + DTF ]</t>
  </si>
  <si>
    <t>CK SHOOPE = 484RB(SHOOPE) [ 10 PCS ]</t>
  </si>
  <si>
    <t>CK MARSHAL = 280RB(CAH) [ PELUNASAN + 2  PCS ]</t>
  </si>
  <si>
    <t>CK HONITA = 3.000RB(BCA) [ 56 PCS ]</t>
  </si>
  <si>
    <t>CK 3301 A = 230RB(BRI) [ 3 PCS ]</t>
  </si>
  <si>
    <t>CK MAHARANI = 95RB(BRI) [ 1 PCS ]</t>
  </si>
  <si>
    <t>CK MARA REKLAME = 27RB(BRI) [DTF ]</t>
  </si>
  <si>
    <t>SHOOPE = 289RB(SHOOPE) [ 6 PCS ]</t>
  </si>
  <si>
    <t>CK HOTHITA = 2.720RB(BCA) [ PELUNASAN ]</t>
  </si>
  <si>
    <t>CK SOLAR = 1.050RB(BCA) [ PELUNASAN ]</t>
  </si>
  <si>
    <t>KAK IIN = 3.335RB(BRI) [PEKUNASAN ]</t>
  </si>
  <si>
    <t>CK MAHARANI = 1000RB(BCA) [ 39PCS ]</t>
  </si>
  <si>
    <t>SHOOPE = 169RB(SHOOPE) [ 3 PCS ]</t>
  </si>
  <si>
    <t>CK JNE = 65RB(BNI) [ 1 PCS ]</t>
  </si>
  <si>
    <t>CK DEVI = 65RB(BNI) [ PELUNASAN ]</t>
  </si>
  <si>
    <t>CK NAJAH  = 74RB(BRI) [ DTF ]</t>
  </si>
  <si>
    <t>CK AGUSTINO = 197RB(BRI) [ 4PCS ]</t>
  </si>
  <si>
    <t>CK SHOOPE = 152RB(SHOOPE) [ 2 PCS ]</t>
  </si>
  <si>
    <t>CK MAHARANI = 4735RB(BRI) [ PELUNASAN ]</t>
  </si>
  <si>
    <t>CK MOCHILL = 170RB(BNI) [ 2 PCS ]</t>
  </si>
  <si>
    <t>CK MAHARANI = 1.685RB(BCA) [ 18PCS ]</t>
  </si>
  <si>
    <t>CK VIE SUN = 210RB(BCA) [ 3PCS ]</t>
  </si>
  <si>
    <t>CK ARFAIN = 100RB(BRI)[  DTF ]</t>
  </si>
  <si>
    <t>CK 3301 A = 1.325RB(BRI) [ 16 PCS ]</t>
  </si>
  <si>
    <t>BG ARIL = 1.400RB(BCA) [ 30 PCS ]</t>
  </si>
  <si>
    <t>CK PLN = 60RB(CASH) [ SABLON ]</t>
  </si>
  <si>
    <t>CK IVAN LAUNDRY = 280RB(BCA) [ 4 PCS ]</t>
  </si>
  <si>
    <t>CK ADNAN = 41RB(BRI) [ DTF ]</t>
  </si>
  <si>
    <t>CK FARISI = 1.200RB(BCA) [ 14 PCS ]</t>
  </si>
  <si>
    <t>CK MAHARANI = 195RB(BCA) [ 2 PCS ]</t>
  </si>
  <si>
    <t>JOKO = 130RB(MANDIRI) [ PELUNASAN ]</t>
  </si>
  <si>
    <t>BG ARIL = 1.000RB(BCA) [ PELUNASAN ]</t>
  </si>
  <si>
    <t>CK ADELWIN = 180RB(BCA) [ 3 PCS ]</t>
  </si>
  <si>
    <t>CK PODA = 840RB(BRI) [ DTF + 12PCS]</t>
  </si>
  <si>
    <t>CK 9001 = 180RB(BCA) [ DTF ]</t>
  </si>
  <si>
    <t>CK FARISI = 200RB(BRI) [ 2 PSC ]</t>
  </si>
  <si>
    <t>CK AGUSTINO = 583RB(BCA) [ 12 PCS ]</t>
  </si>
  <si>
    <t>CK NAJAH PRINTING = 268RB(BRI)[ 4 PCS + DTF ]</t>
  </si>
  <si>
    <t>CK FAUZAN = 945RB(BCA) [ 15 PSC ]</t>
  </si>
  <si>
    <t>CK 3301 A  = 180RB(BRI) [ 2 PCS ]</t>
  </si>
  <si>
    <t>CK MOM OLIVE = 200RB(BRI) [ SABLON ]</t>
  </si>
  <si>
    <t>TOKPED = 60RB(TOKPED) [ 1PSC ]</t>
  </si>
  <si>
    <t>CK REZA = 87RB(BCA) [ 1 PCS ]</t>
  </si>
  <si>
    <t>CK AGUSTINO = 207RB(BRI) [ 4 PSC ]</t>
  </si>
  <si>
    <t>CK MARTIN = 975RB(BNI)[ 12 PCS ]</t>
  </si>
  <si>
    <t>CK JUANDA = 485RB(BCA) [ 5 PCS ]</t>
  </si>
  <si>
    <t>CK VIE SUN = 310RB(BCA) [ 4 PCS ]</t>
  </si>
  <si>
    <t>CK PANCING = 131RB(BRI) [ SABLON ]</t>
  </si>
  <si>
    <t>DEVI = 136RB(BNI) [ PELUNASAN ]</t>
  </si>
  <si>
    <t>CK FARISI = 200RB(BCA) [ 2 PCS ]</t>
  </si>
  <si>
    <t>-</t>
  </si>
  <si>
    <t>CK BG HARIANJA = 140RB(BCA) [ 2 PCS ]</t>
  </si>
  <si>
    <t>SHOOPE = 207RB(SHOOPE) [  3 PSC ]</t>
  </si>
  <si>
    <t>SJE = 1.820RB(BRI) [  PELUNASAN ]</t>
  </si>
  <si>
    <t>JOKO = 66RB(MANDIRI) [ PELUNASAN ]</t>
  </si>
  <si>
    <t>CK 3301 = 75RB(BRI) [ 1 PCS ]</t>
  </si>
  <si>
    <t>CK BANG EVAN = 90RB(CASH) [ DTF ]</t>
  </si>
  <si>
    <t>CK ALDI = 350(BCA) [ 20 PCS TOPI ]</t>
  </si>
  <si>
    <t>CK ARFAIN = 90RB(BRI) [ DTF ]</t>
  </si>
  <si>
    <t>TOKPED = 210RB(TOKPED) [ 2PCS ]</t>
  </si>
  <si>
    <t>CK TIA VITRIA = 8.360RB(BNI) [ 240PCS ]</t>
  </si>
  <si>
    <t>CK NAJAH PRINTING = 77RB(BRI) [ DTF ]</t>
  </si>
  <si>
    <t>CK BANK SUMUT = 5.000RB(BCA) [ 250PCS ]</t>
  </si>
  <si>
    <t>PAK ARNOL = 155RB(BRI) [ DTF + PELUNASAN ]</t>
  </si>
  <si>
    <t>CK ALDI = 350RB(BCA) [ PELUNASAN ]</t>
  </si>
  <si>
    <t>CK BANK SUMUT = 12.400RB(CASH) [ PELUNASAN ]</t>
  </si>
  <si>
    <t>CK VITRIA = 4.635(BNI) [ PELUNASAN ]</t>
  </si>
  <si>
    <t>CK BANK SUMUT = 1.500RB(BCA) [ 20 PCS ]</t>
  </si>
  <si>
    <t>CK AGUSTINO = 1.834RB(BRI) [ 50 PCS ]</t>
  </si>
  <si>
    <t>CK NAJAH PRINTING = 242RB(BRI) [ DTF ]</t>
  </si>
  <si>
    <t>CK MOM OLIVE = 175RB(CASH) [ PELUNASAN ]</t>
  </si>
  <si>
    <t>CK COD = 135RB(CASH) [ PINJAM BAJU ]</t>
  </si>
  <si>
    <t>TOKPED = 279RB(TOKPED) [ 5 PCS ]</t>
  </si>
  <si>
    <t>CK YEAN = 1.356RB(BCA) [ 18 PCS ]</t>
  </si>
  <si>
    <t>CK  V = 2.000RB(BCA) [ 50 PCS ]</t>
  </si>
  <si>
    <t>CK SANDY = 735RB(BCA) [ 9 PCS ]</t>
  </si>
  <si>
    <t>SHOOPE = 110RB(SHOOPE) [ 2PSC ]</t>
  </si>
  <si>
    <t>CK FARISI = 100RB (BCA) [ 1 PCS ]</t>
  </si>
  <si>
    <t>CK MARBES PRINTING = 2.256RB(BRI) [ 47PCS]</t>
  </si>
  <si>
    <t>CK VIA BARUS = 734RB (BNI) [ 18 PCS ]</t>
  </si>
  <si>
    <t>CK AUSTENITE = 1.625RB(BCA) [ PELUNASAN ]</t>
  </si>
  <si>
    <t>CK SANDI = 1.010RB(BCA) [ 14 PCS ]</t>
  </si>
  <si>
    <t>CK CAPPELA = 825RB(BCA) [ PELUNASAN ]</t>
  </si>
  <si>
    <t>CK ANITA = 700RB(BCA) [ 10PCS ]</t>
  </si>
  <si>
    <t>CK BG HARIANJA = 130RB(BCA) [ PELUNASAN ]</t>
  </si>
  <si>
    <t>SHOOPE = 100RB(SHOOPE) [ 2 PSC ]</t>
  </si>
  <si>
    <t>CK AGUSTINO = 1.146RB(BRI) [ 24PCS ]</t>
  </si>
  <si>
    <t>CK MABER PRINTING = 1.840RB(BRI) [ 36 PCS ]</t>
  </si>
  <si>
    <t>CK ROLLER = 129RB(BCA) [ DTF ]</t>
  </si>
  <si>
    <t>CK PODA GRAFIKA = 1.419RB(BRI) [ 22PCS + DTF ]</t>
  </si>
  <si>
    <t>CK ANITA = 55RB(BCA) [ ONGKIR ]</t>
  </si>
  <si>
    <t>CK RIAN ASS = 174RB (BNI) [ 2 PCS ]</t>
  </si>
  <si>
    <t>CK MIFTA = 70RB(BCA) [ 1 PCS ]</t>
  </si>
  <si>
    <t>TOKPED =250RB(TOKPED) [ 5 PCS ]</t>
  </si>
  <si>
    <t>CK ASW = 200RB(BCA),55RB(CASH) [ 3 PCS ]</t>
  </si>
  <si>
    <t>CK VIVI = 270RB(BCA) [ DTF ]</t>
  </si>
  <si>
    <t>CK SHOOPE = 105RB(SHOOPE) [ 2 PCS ]</t>
  </si>
  <si>
    <t>CK ROLLER = 1.570RB(BCA) [ 32PCS + DTF ]</t>
  </si>
  <si>
    <t>CK KABANJAHE = 700RB(BCA) [ 10PCS ]</t>
  </si>
  <si>
    <t>CK MARTIN = 1.166RB(BCA) [ PELUNASAN ]</t>
  </si>
  <si>
    <t>CK PERCJ = 1.945RB(CASH) [ PELUNASAN ]</t>
  </si>
  <si>
    <t>CK 6001 A = 90RB(BCA) [ DTF ]</t>
  </si>
  <si>
    <t>CK ANITA = 820RB(BCA) [ 10 PCS ]</t>
  </si>
  <si>
    <t>CK HARIS = 280RB(BRI) [ SABLON ]</t>
  </si>
  <si>
    <t>CK VIE SUN = 11.500RB(BCA) [ 295PCS ]</t>
  </si>
  <si>
    <t>CK MABERS = 1.500RB(BRI) [35 PCS ]</t>
  </si>
  <si>
    <t>PAK ARNOL = 2.799RB(BRI) [ DTF ]</t>
  </si>
  <si>
    <t>BG ARIEL = 1.765RB(BCA) [ PELUNASAN ]</t>
  </si>
  <si>
    <t>TOKPED = 250RB(TOKPED 3 PSC ]</t>
  </si>
  <si>
    <t>CK VIVI = 450RB(BCA) [ DTF ]</t>
  </si>
  <si>
    <t>TOKPED = 50RB(TOKPED) [ 1PCS ]</t>
  </si>
  <si>
    <t>CK BG HARIANJA =135RB(BCA) [ 2 PCS ]</t>
  </si>
  <si>
    <t>CK JUANDA = 1.962RB(BNI) [ 27PCS ]</t>
  </si>
  <si>
    <t>TOKPED = 245RB(TOKPED) [ DTF ]</t>
  </si>
  <si>
    <t>CK GUNAWAN = 3.237RB(BCA) [ 48PCS ]</t>
  </si>
  <si>
    <t>CK RINALDI = 75RB(BRI) [ 1PCS ]</t>
  </si>
  <si>
    <t>CK ASW = 100RB(BCA) [ 3 PSC + 1 TOPI]</t>
  </si>
  <si>
    <t>CK PODA = 205RB(MANDIRI) [  1 PCS + DTF ]</t>
  </si>
  <si>
    <t>CK VIVI = 180RB(BCA) [ DTF ]</t>
  </si>
  <si>
    <t>CK RZ = 890RB(BCA) [ BCA) [ 9 PCS ]</t>
  </si>
  <si>
    <t>CK BG HARIANJA = 345RB(CASH) [ PELUNASAN ]</t>
  </si>
  <si>
    <t>CK BG EVAN = 28RB(BCA) [ DTF ]</t>
  </si>
  <si>
    <t>CK VIVI = 360RB(BCA) [ DTF ]</t>
  </si>
  <si>
    <t>CK FAUZAN = 293RB(BCA) [3 PCS ]</t>
  </si>
  <si>
    <t>CK BG TOGU = 480RB(BRI) [ 5 PCS ]</t>
  </si>
  <si>
    <t>CK JUANDA = 275RB(BCA) [ 4 PCS ]</t>
  </si>
  <si>
    <t>CK GINTING = 620RB(BRI) [ 9 PCS ]</t>
  </si>
  <si>
    <t>CK FERRY = 400RB(CASH) [ 5 PCS ]</t>
  </si>
  <si>
    <t>CK TARUTUNG = 80RB(BCA) [ 1 PCS ]</t>
  </si>
  <si>
    <t>CK MABERS = 1.635RB(BRI) [ 33 PCS ]</t>
  </si>
  <si>
    <t>TOKPED = 130RB(TOKPED) [ 2 PCS ]</t>
  </si>
  <si>
    <t>PERCH =109RB(CASH) [ PELUNASAN ]</t>
  </si>
  <si>
    <t>CK JOKO = 173RB(CASH) [ 3 PCS ]</t>
  </si>
  <si>
    <t>CK 10045 RJ = 1.000RB(BCA) [ 18 PCS ]</t>
  </si>
  <si>
    <t>CK 10172 A = 150RB(BRI) [ 2 PCS ]</t>
  </si>
  <si>
    <t>CK TARUTUNG = 169RB(BRI) [ 2 PCS ]</t>
  </si>
  <si>
    <t>CK PODA = 1.811RB(MADIRI) [ 32 PCS + DTF ]</t>
  </si>
  <si>
    <t>CK TARUTUNG = 65RB(BRI) [ 1 PCS ]</t>
  </si>
  <si>
    <t>CK RZ = 900RB(BCA) [ PELUNASAN ]</t>
  </si>
  <si>
    <t>CK 10332 A = 300RB(BNI) [ 2 PCS ]</t>
  </si>
  <si>
    <t>CK VIVI = 810RB(BCA) [ DTF ]</t>
  </si>
  <si>
    <t>CK PERCH = 109RB(CASH) [ 2 PCS ]</t>
  </si>
  <si>
    <t>CK TARUTUNG = 241RB(BRI) [ 3 PCS ]</t>
  </si>
  <si>
    <t>CK ARFAIN = 761RB(BRI) [ DTF ]</t>
  </si>
  <si>
    <t>CK VIVI =45RB(BCA) [DTF ]</t>
  </si>
  <si>
    <t>CK MEGA SALON = 100RB(CASH) [ PELUNASAN ]</t>
  </si>
  <si>
    <t>CK 5902 A = 561RB(BRI) [ 8 PCS ]</t>
  </si>
  <si>
    <t>CK ANDREW = 500RB(BCA) [ 5PCS ]</t>
  </si>
  <si>
    <t>CK MAHARANI = 65RB(BCA) [ 1 PCS ]</t>
  </si>
  <si>
    <t>CK 6555 A  = 175RB(BNI) [ 2 PCS ]</t>
  </si>
  <si>
    <t>CK PERCH = 45RB(CASH( [ DTF]</t>
  </si>
  <si>
    <t>CK 1470 Syafdoh&amp;Azia = 1.000RB(CASH) [ 23 PCS ]❌</t>
  </si>
  <si>
    <t>TOKPED = 73RB(TOKPED) [ 1 PCS ]✅</t>
  </si>
  <si>
    <t>TOKPED = 360RB(TOKPED) [ 6 PCS ]✅</t>
  </si>
  <si>
    <t>TOKPED = 317RB(TOKPED) [ 6 PCS ]✅</t>
  </si>
  <si>
    <t>FAUZAN SIBOLGA = 885RB(BNI) [ 12 PCS ]✅</t>
  </si>
  <si>
    <t>CK MAHARANI = 1.390RB(BNI) [ 26 PCS ]</t>
  </si>
  <si>
    <t>CK NAJAH PRINTING = 697RB(BRI) [ DTF ]</t>
  </si>
  <si>
    <t>CK MAHARANI = 1.045RB(BNI) [ PELUNASAN ]</t>
  </si>
  <si>
    <t>CK VEI SUN = 5.129RB(BCA) [ PELUNASAN ]</t>
  </si>
  <si>
    <t>CK SYAFDOH = 1.115RB(BCA) [ PELUNASAN ]</t>
  </si>
  <si>
    <t>CK MARTIN = 2.007RB(BNI) [ 24 PCS ]</t>
  </si>
  <si>
    <t>JULIO = 45RB(MANDIRI) [ 1 PCS ]</t>
  </si>
  <si>
    <t>TOKPED = 60RB( 1 PCS ]</t>
  </si>
  <si>
    <t>TANGGAL</t>
  </si>
  <si>
    <t>CK RIETN = 520RB(BCA) [ 8 PCS ]</t>
  </si>
  <si>
    <t>CK VIA BARUS = 2.405RB(BNI) [ 46 PCS ]</t>
  </si>
  <si>
    <t>CK VE SUN = 17.000RB(BCA) [ 295PCS ]</t>
  </si>
  <si>
    <t>CK 5758 PERMATA PRIMA = 205RB(BCA) [ 3 PCS ]</t>
  </si>
  <si>
    <t>CK M. HADI  = 426RB(BCA) [ 9 PCS ]</t>
  </si>
  <si>
    <t>CK DTF = 540RB(BCA) [ DTF ]</t>
  </si>
  <si>
    <t xml:space="preserve">CK MITA = 2.000RB(BRI) [ 39PCS </t>
  </si>
  <si>
    <t>CK ESTER = 109RB(BRI) [ 1 PCS ]</t>
  </si>
  <si>
    <t>CK M.PADLI = 1.340RB(TOKPED) [ 20 PCS ]</t>
  </si>
  <si>
    <t>CK FLIGWA = 235(BNI) [ 3PCS ]</t>
  </si>
  <si>
    <t>CK M.PADLI = 140RB(BCA) [ 2 PCS ]</t>
  </si>
  <si>
    <t>CK VANDERIC = 2.030RB(BCA) [ PELUNASAN]</t>
  </si>
  <si>
    <t>CK MAHARANI = 360RB(BNI) [ 4PCS ]</t>
  </si>
  <si>
    <t>CK G17 = 221RB(BCA) [ 2 PCS ]</t>
  </si>
  <si>
    <t>CK M FADLI = 40RB(BCA) [ 1 PCS ]</t>
  </si>
  <si>
    <t>PAK ARNOL = 2.070RB(BRI) [39 PCS + DTF ]</t>
  </si>
  <si>
    <t>CK MITA = 930RB(BRI) [ PELUNASAN]</t>
  </si>
  <si>
    <t>GOJEK = 20RB(CASH) [ ONGKIR ]</t>
  </si>
  <si>
    <t>CK HERMAN CCTV = 450RB(BCA) [ 6 PCS ]</t>
  </si>
  <si>
    <t>CK FAUZAN = 119RB(BNI) [ 2PCS ]</t>
  </si>
  <si>
    <t>CK TUTUAN = 182RB(BCA) [ 2 PCS ]</t>
  </si>
  <si>
    <t>CK HENNY = 212RB(BRI) [ 2 PCS ]</t>
  </si>
  <si>
    <t>CK MEY = 80RB(BCA) [ 1PCS ]</t>
  </si>
  <si>
    <t>CK VIA BARUS = 115RB(BNI) [ BENDERA ]</t>
  </si>
  <si>
    <t>TOKPED = 150RB(TOKPED) [ 1PCS ]</t>
  </si>
  <si>
    <t xml:space="preserve">CK </t>
  </si>
  <si>
    <t>CK ROLLER = 681RB(BCA) [ 12 PCS ]</t>
  </si>
  <si>
    <t>CK ASW = 1.400RB(BCA) [ 18 PCS ]</t>
  </si>
  <si>
    <t>CK MONICA GROUP = 1.780RB(BCA) [ 30PCS ]</t>
  </si>
  <si>
    <t>CK 2893 A = 84RB(BCA)  [ 1 PCS ]</t>
  </si>
  <si>
    <t>CK RIESN = 374RB(BCA) [ 4 PCS ]</t>
  </si>
  <si>
    <t>TOKPED = 135RB(TOKPED) [ DTF ]</t>
  </si>
  <si>
    <t>TETANGA = 100RB(CASH) [ 7 PCS ]</t>
  </si>
  <si>
    <t>SHOOPE = 62RB(SHOOPE) [ 1 PCS ]</t>
  </si>
  <si>
    <t>CK DEVI = 3.725RB(BCA) [ 50PCS ]</t>
  </si>
  <si>
    <t>CK 2893 A = 94RB(BCA) [ PELUNASAN ]</t>
  </si>
  <si>
    <t>TOKPED = 295RB(TOKPED) [ 5 PCS ]</t>
  </si>
  <si>
    <t>CK ARFAIN = 206RB(BRI) [ DTF ]</t>
  </si>
  <si>
    <t>CK VIVI = 90RB(BCA) [ DTF ]</t>
  </si>
  <si>
    <t xml:space="preserve">PAK ARNOL = 428RB(BRI) [ PELUNASAN </t>
  </si>
  <si>
    <t>CK SHOOPE = 900RB(SHOOPE) [ 10PCS ]</t>
  </si>
  <si>
    <t>CK RZ = 330RB(BCA) [ 3 PCS ]</t>
  </si>
  <si>
    <t>CK ARFAIN = 23RB(BCA) [ DTF ]</t>
  </si>
  <si>
    <t>CK VIVI = 90RB(BCA) [DTF ]</t>
  </si>
  <si>
    <t>CK LIM = 390RB(BCA) [ PELUNASAN ]</t>
  </si>
  <si>
    <t>TOKPED = 88RB(TOKPED) [ 1 PCS ]</t>
  </si>
  <si>
    <t>CK MEDLY = 97RB(BCA) [ DTF ]</t>
  </si>
  <si>
    <t>CK WAHYUDI KELANA = 112RB(BCA) [ 1 [CS ]</t>
  </si>
  <si>
    <t>TOKPED = 250RB(TOKPED) [ 5 PCS ]✅</t>
  </si>
  <si>
    <t>CK 2352A Dtf Vivi = 450RB(BCA) [ DTF ]✅</t>
  </si>
  <si>
    <t>CK 1673A Maharani = 80RB(MANDIRI) [ 1 [CS ]✅</t>
  </si>
  <si>
    <t>CK ROLLER = 5.334RB(BCA) [ 82 PCS + DTF ]</t>
  </si>
  <si>
    <t>CK MAHARANI  = 169RB(BNI) [ 2 PCS ]</t>
  </si>
  <si>
    <t>CK PADLI = 2.105RB(BNI) [ 21 PCS ]</t>
  </si>
  <si>
    <t>CK TOPED = 616RB(BCA) [ 12 PCS ]</t>
  </si>
  <si>
    <t>CK DEVI = 5.950RB(BCA) [ 100 PCS ]</t>
  </si>
  <si>
    <t>TOPKED = 119RB(TOKPED) [2 PCS ]</t>
  </si>
  <si>
    <t>CK AGUSTINO = 307RB(BRI) [ 6 PCS ]</t>
  </si>
  <si>
    <t>CK M. HADI = 390RB(BCA) [  6 PCS ]</t>
  </si>
  <si>
    <t>CK LUFTY = 2.010RB(BCA) [ 24 PCS ]</t>
  </si>
  <si>
    <t>CK 10314 PODA GRAFIKA = 1.426RB(Mandiri) [ 26 PCS + DTF ]✅</t>
  </si>
  <si>
    <t>CK VIVI = 270RB(BCA) [ DTF ]✅</t>
  </si>
  <si>
    <t>CK 304A Ivan Studio Laundry = 350RB(BNI) [  5 PCS ]✅</t>
  </si>
  <si>
    <t>Ck Najah Printing = 38RB(BRI) [ DTF ]✅</t>
  </si>
  <si>
    <t>TOKPED = 162RB [  1 PCS ]✅</t>
  </si>
  <si>
    <t>CK FAUZAN = 740RB(BCA) [ 11 PCS ]</t>
  </si>
  <si>
    <t>CK ARFAIN = 861RB(BRI) [ DTF ]</t>
  </si>
  <si>
    <t>CK TOP LAUNDRY = 225RB(BRI) [ 3 PCS ]</t>
  </si>
  <si>
    <t>CK 5574 A = 480RB(BCA) [ 8 PCS ]</t>
  </si>
  <si>
    <t>TOKPED = 713RB(TOKPED) [ 15PCS ]</t>
  </si>
  <si>
    <t>CK VIVI = 540RB(BCA) [ DTF ]</t>
  </si>
  <si>
    <t>CK 10323 A = 102RB(BNI) (CASH) [ DTF ]</t>
  </si>
  <si>
    <t>CK VE SUN = 3.320RB(BCA) [ 40 PCS ]</t>
  </si>
  <si>
    <t>CK BEAUTY = 1.412RB(BCA) [ 29 PCS ]</t>
  </si>
  <si>
    <t>CK VIA BARUS  = 360RB(BNI) [ 10 PCS ]</t>
  </si>
  <si>
    <t>GOJEK = 20RB(CASH)</t>
  </si>
  <si>
    <t>CK VIA BARUS = 210RB(BNI) [ PELUNASAN + 1 PCS ]</t>
  </si>
  <si>
    <t>CK AGUSTINO = 599RB(BRI) [ 12 PCS ]</t>
  </si>
  <si>
    <t>TOKPED = 115RB(TOKPED)</t>
  </si>
  <si>
    <t>CK RZ = 210RB(BCA) [ 2 PCS ]</t>
  </si>
  <si>
    <t>JOKO = 567RB(MANDIRI) [ 8PCS ]</t>
  </si>
  <si>
    <t>CK AGUSTINO = 558RB(BRI) [10 PCS ]</t>
  </si>
  <si>
    <t>CK YUDHA = 1.140RB(BRI) [ 12 PCS ]</t>
  </si>
  <si>
    <t>CK FADLI = 500RB(BCA) [ 5 PCS ]</t>
  </si>
  <si>
    <t>CK JUANDA = 113RB(BNI) [ DTF ]</t>
  </si>
  <si>
    <t>CK 10101 A  = 50RB (BRI) [ 1 PCS ]</t>
  </si>
  <si>
    <t>CK JUANDA = 33RB(BRI) [ DTF ]</t>
  </si>
  <si>
    <t>CK PODA = 1.261RB(MANDIRI) [DTF + 4PCS ]</t>
  </si>
  <si>
    <t>CK GR = 185RB(BRI) [ 1PCS ]</t>
  </si>
  <si>
    <t>CK ROLLER  = 2.112RB(BCA) [ 32 PCS  + DTF ]</t>
  </si>
  <si>
    <t>CK PAK ARNOL = 96RB(BRI) [ DTF ]</t>
  </si>
  <si>
    <t>CK GR = 90RB(BCA) [ 1 PCS ]</t>
  </si>
  <si>
    <t>SHOOPE = 281RB(SHOOPE) [ 6PCS ]</t>
  </si>
  <si>
    <t>TOKPED = 156RB(TOKPED) [ 3PCS ]</t>
  </si>
  <si>
    <t>CK STIVEN = 500RB(BCA) [ 9PCS ]</t>
  </si>
  <si>
    <t>CK VIVI = 180RB(BCA) [DTF ]</t>
  </si>
  <si>
    <t>CK ASW = 197RB(BCA) [ 2PCS ]</t>
  </si>
  <si>
    <t>CK VIVI = 90RB(BCA) [ DTF]</t>
  </si>
  <si>
    <t>CK ROLLER = 1.175(BCA) [19 PCS + DTF ]</t>
  </si>
  <si>
    <t>CK CERA = 1.250RB(BCA) [ 30 PCS ]</t>
  </si>
  <si>
    <t>CK FAUZAN = 119RB(BRI) [ 2 PCS ]</t>
  </si>
  <si>
    <t>CK RAHMAT = 75RB(BNI) [ 1 PCS ]</t>
  </si>
  <si>
    <t>CK VIVI =990RB(BCA) [ DTF ]</t>
  </si>
  <si>
    <t>CK LUTFFY = 800RB(BRI) 62[CASH]</t>
  </si>
  <si>
    <t>CK AGUSTINO = 311RB(BRI) [ 6 PSC ]</t>
  </si>
  <si>
    <t>JOKO = 784RB(MANDIRI) [ 8PCS ]</t>
  </si>
  <si>
    <t>SHOOPE = 215RB(SHOOPE) [ 4 PCS ]</t>
  </si>
  <si>
    <t>CK REZA = 154RB(BCA) [ 2 PCS ]</t>
  </si>
  <si>
    <t>CK TIA FITRIA = 339RB(BNI) [4PCS ]</t>
  </si>
  <si>
    <t>SHOOPE = 72RB(SHOOPE) [ 1 PCS ]</t>
  </si>
  <si>
    <t>CK ANAK POK EVI = 2.080RB(CASH) [ 26 PCS ]</t>
  </si>
  <si>
    <t>CK BRURI = 45RB(cash) [ dtf ]</t>
  </si>
  <si>
    <t>CK NOVITA = 764RB(BRI) [ 9 PCS ]</t>
  </si>
  <si>
    <t xml:space="preserve">CK LUTFI   = 338RB(BCA) [ 6 PCS] </t>
  </si>
  <si>
    <t>CK BARUS = 77RB(BCA) [1 PCS ]</t>
  </si>
  <si>
    <t>CK VIVI = 720RB(BCA) [ DTF ]</t>
  </si>
  <si>
    <t>CK JUANDA = 68RB(BRI) [DTF ]</t>
  </si>
  <si>
    <t>CK MAHARAI = 140RB(BCA) [ 2PCS ]</t>
  </si>
  <si>
    <t>CK AGUSTINO = 475RB(BRI) [10 PCS ]</t>
  </si>
  <si>
    <t>CK PODA = 225RB(MANDIRI) [ DTF ]</t>
  </si>
  <si>
    <t>CK NOVITA  = 247RB(BRI) [ PELUNASAN ]</t>
  </si>
  <si>
    <t>CK PODA = 303RB(MANDIRI) [ 4 PCS + DTF ]</t>
  </si>
  <si>
    <t>PAK ARNOL = 500RB(BRI) [ 4PCS + DTF ]</t>
  </si>
  <si>
    <t>CK JOKO = 40RB(MANDIRI) [ 1PCS ]</t>
  </si>
  <si>
    <t>CK 10101 = 110RB(BRI) [ SABLON ]</t>
  </si>
  <si>
    <t>CK FUZAN = 259RB(BCA) [ 4 PCS ]</t>
  </si>
  <si>
    <t>SHOOPE =200RB(SHOOPE) [ 5 PCS ]</t>
  </si>
  <si>
    <t>CK SPX = 82RB(BCA) [ 1 PCS ]</t>
  </si>
  <si>
    <t>CK HARIS = 231RB(BRI) [ 3 PCS ]</t>
  </si>
  <si>
    <t>CK 785 A  = 102RB(BCA) [ 2 PCS ]</t>
  </si>
  <si>
    <t>KAK NANDA = 100RB(BRI) [ 2PCS ]</t>
  </si>
  <si>
    <t>CK VIVI = 1.260RB(BCA) [ DTF ]</t>
  </si>
  <si>
    <t>CK AGUSTINO = 955RB(BRI) [26PCS ]</t>
  </si>
  <si>
    <t>`</t>
  </si>
  <si>
    <t>CK JOKO = 110RB(BRI) [ 1PCS ]</t>
  </si>
  <si>
    <t>TOKPED = 115RB(TOKPED) [ 2 PCS ]</t>
  </si>
  <si>
    <t>CK RONAL ACEH = 358RB(BCA) [ 8PCS + DTF ]</t>
  </si>
  <si>
    <t>CK AGUSTINO = 363RB(BRI)[ 7 PCS ]</t>
  </si>
  <si>
    <t>CK AGUSTINO = 268RB(BRI) [5 PCS ]</t>
  </si>
  <si>
    <t>PAK ARNOL = 155RB(BRI) [ PELUNASAN ]</t>
  </si>
  <si>
    <t>CK 10101 = 85RB(BRI) [1 PCS ]</t>
  </si>
  <si>
    <t>TOKPED = 115RB(TOKPED) [ 2PSC]</t>
  </si>
  <si>
    <t>BG TUMANGGOR = 906RB(BRI) [ PELUNASAN ]</t>
  </si>
  <si>
    <t>CK ESTER = 470RB(BNI) [ PELUNASAN ]</t>
  </si>
  <si>
    <t>TOKPED = 80RB(TOKPED) [ 2 PSC ]</t>
  </si>
  <si>
    <t>COD = 42RB(CASH) [ 1 PSC]</t>
  </si>
  <si>
    <t>CK LONTONG MBAK = 1.620RB(BNI) [ 14 PCS ]</t>
  </si>
  <si>
    <t>TOKPED = 170RB(TOKPED) [ 2PCS ]</t>
  </si>
  <si>
    <t>CK AGUSTINO = 97RB(BRI)[2 PCS ]</t>
  </si>
  <si>
    <t>CK ARFAIN = 250RB(BRI)[DTF ]</t>
  </si>
  <si>
    <t>CK BEST STIKER = 401RB(BCA) [ 11 PCS ]</t>
  </si>
  <si>
    <t>CK HALTE JUS = 1.3650RB(BRI) [ 15PCS]</t>
  </si>
  <si>
    <t>CK SANDY = 1.448rb(bca) [ 17PCS ]</t>
  </si>
  <si>
    <t>CK ESTER = 590RB(BNI) [ 2 PCS ]</t>
  </si>
  <si>
    <t>CK COD = 42RB(CASH) [1 PCS ]</t>
  </si>
  <si>
    <t>TOKPED = 35RB(TOKPED) [ DTF ]</t>
  </si>
  <si>
    <t>CK VIA BARUS = 250RB(BNI) [ 5 PCS ]</t>
  </si>
  <si>
    <t>CK JUANDA = 180RB(BRI) [ DTF ]</t>
  </si>
  <si>
    <t>CK JIMI = 145RB(BCA) [ 2 PSC ]</t>
  </si>
  <si>
    <t xml:space="preserve">CK BEST STIKER = 285RB(BCA) [ 7 PCS] </t>
  </si>
  <si>
    <t>CK TOKPED = 180RB(4PCS) [ TOKPED ]</t>
  </si>
  <si>
    <t>CK ANDI = 133RB(BNI) [ DTF ]</t>
  </si>
  <si>
    <t>CK AGUSTINO = 227RB(BCA) [ 4PCS ]</t>
  </si>
  <si>
    <t>CK CICI C20 = 30RB(BCA)[ SABLON]</t>
  </si>
  <si>
    <t>SHOOPE = 223RB(SHOOPE) [3 PCS ]</t>
  </si>
  <si>
    <t>CK JIMMY = 1.130RB(BCA) [ 14PCS ]</t>
  </si>
  <si>
    <t>CK DOLLY = 2.622RB(BRI)[31 PCS ]</t>
  </si>
  <si>
    <t>CK AGUSTINO = 428RB(BRI) [ 10 PCS]</t>
  </si>
  <si>
    <t>CK RAY = 154RB(BCA) [ 2 PCS ]</t>
  </si>
  <si>
    <t>CK COD = 407RB(BRI) [9 PCS ]</t>
  </si>
  <si>
    <t>CK COD = 47RB(CASH) [ 1PCS ]</t>
  </si>
  <si>
    <t>CK NAJAH PRINTING = 46RB(BRI) [ DTF ]</t>
  </si>
  <si>
    <t>CK ROLLER = 5.295RB(BCA)[ 165PCS + DTF ]</t>
  </si>
  <si>
    <t>PAK ARNOL = 118RB(BRI) [DTF ]</t>
  </si>
  <si>
    <t>CK SHOOPE = 80RB(SHOOPE)[ 1PCS ]</t>
  </si>
  <si>
    <t>CK DINASARI  = 232RB(BCA)[4 PCS ]</t>
  </si>
  <si>
    <t>CK RONAL ACEH = 1.075RB(BCA)[25PCS ]</t>
  </si>
  <si>
    <t xml:space="preserve">CK VIVI = 270RB(BCA) [ DTF] </t>
  </si>
  <si>
    <t>CK LALA = 1.000RB(BCA) [ 22 PCS ]</t>
  </si>
  <si>
    <t>CK RONAL ACEH = 1.489RB(BCA) [26PCS ]</t>
  </si>
  <si>
    <t>CK 3301 A = 77RB(BCA) [1 PCS ]</t>
  </si>
  <si>
    <t>CK FAUZAN = 1.608RB(BRI) [33 PCS ]</t>
  </si>
  <si>
    <t>CK MARIA = 168RB(BRI) [ 4 PCS ]</t>
  </si>
  <si>
    <t>CK LALA = 914RB(BCA) [ PELUNASAN ]</t>
  </si>
  <si>
    <t>CK AGUSTINO = 214RB(BRI) [ 4PCS ]</t>
  </si>
  <si>
    <t>CK JUSUF = 336RB(BNI) [ DTF ]</t>
  </si>
  <si>
    <t>CK DIANA = 58RB(BCA)[  1 PCS ]</t>
  </si>
  <si>
    <t>TOKPED = 130RB(TOKPED) [ 3 PSC ]</t>
  </si>
  <si>
    <t>TOKPED =96RB(TOKPED) [ 2 PCS ]</t>
  </si>
  <si>
    <t>SHOOPE = 108RB(SHOOPE) [1 PCS ]</t>
  </si>
  <si>
    <t>SHOOPE = 127RB(SHOOPE) [ 3 PCS ]</t>
  </si>
  <si>
    <t>CK BG EVAN = 1.020RB(BCA)[ PELUNASAN]</t>
  </si>
  <si>
    <t>CK PERCH = 192RB(BCA) [ 3 PCS ]</t>
  </si>
  <si>
    <t>CK ROLLER = 12.839RB(BCA) [ 385PCS + DTF]</t>
  </si>
  <si>
    <t>CK TOKPED = 100RB(TOKPED) [ 2PSC ]</t>
  </si>
  <si>
    <t>CK AGUSTINO = 181RB(BRI) [ 4 PCS ]</t>
  </si>
  <si>
    <t>CK BARUS = 316RB(BCA) [ 3 PCS ]</t>
  </si>
  <si>
    <t>CK FIRMAN = 314RB(BNI) [ 4 PCS ]</t>
  </si>
  <si>
    <t>CK SHOOPE = 109RB(SHOOPE)[3 PCS ]</t>
  </si>
  <si>
    <t>CK ALI GUNAWAN = 1.000RB(BCA) [ 20 PCS ]</t>
  </si>
  <si>
    <t>CK KABANJAHE = 400RB(BRI) [6 PCS ]</t>
  </si>
  <si>
    <t>CK RATU = 93RB(BCA) [ 1 PSC ]</t>
  </si>
  <si>
    <t>CK RONAL = 421RB(TOKPED) [ 8 PCS ]</t>
  </si>
  <si>
    <t>CK TUTAN = 187RB(TOKPED) [4 PCS ]</t>
  </si>
  <si>
    <t>CK BINSAR = 3.625RB()[ 45PCS ]</t>
  </si>
  <si>
    <t>CK TOPKED RONAL = 352RB(TOKPED) [ 5 PCS ]</t>
  </si>
  <si>
    <t>CK AGUSTINO = 292RB(BRI) [ 6 PCS ]</t>
  </si>
  <si>
    <t>CK BEST STIKER = 521RB(BCA) [ 13 PCS ]</t>
  </si>
  <si>
    <t>CK RZ = 530RB(BCA) [ 5 PCS ]</t>
  </si>
  <si>
    <t>CK 3301 = 214RB(BRI) [ 3PCS ]</t>
  </si>
  <si>
    <t>CK FIRMAN = 104RB(BNI) [ 1 PCS ]</t>
  </si>
  <si>
    <t>CK AGUSTINO = 130RB(BRI) [ 2 PCS ]</t>
  </si>
  <si>
    <t>CK FEBRI = 180RB(BCA) [ SABLON ]</t>
  </si>
  <si>
    <t>CK NAJAH PRINTING =130 (BCA) [ 1 PCS + DTF ]</t>
  </si>
  <si>
    <t>CK ROLLER = 4.864RB(BCA) [ 106PCS + DTF ]</t>
  </si>
  <si>
    <t>CK AGRIVA = 180RB(BCA) [  2 PCS ]</t>
  </si>
  <si>
    <t>CK RJ = 967RB(BCA) [ 11 PCS ]</t>
  </si>
  <si>
    <t>CK NAJAH PRINTING = 132RB(BRI) [ DTF ]</t>
  </si>
  <si>
    <t>CK CICI C17 = 37RB(BCA) [ 1 PCS ]</t>
  </si>
  <si>
    <t>TOKPED = 155RB(3PCS) [TOKKPED]</t>
  </si>
  <si>
    <t>CK RONAL ACEH = 809RB(BCA) [14 PCS ]</t>
  </si>
  <si>
    <t>CK SAULIN = 148RB(BCA) [ BRI ]</t>
  </si>
  <si>
    <t>CK MAHARANI = 190RB(BRI) [ 2 PCS ]</t>
  </si>
  <si>
    <t>CK IRMA = 2.285RB(BNI) [25 PCS ]</t>
  </si>
  <si>
    <t>TOKPED =389RB(TOKPED) [ 7PCS ]</t>
  </si>
  <si>
    <t>CK ROLLER = 463RB(BCA) [ 5PSC + DTF ]</t>
  </si>
  <si>
    <t>CK ENAMIA = 1.173RB(BCA) [ 31 PSC ]</t>
  </si>
  <si>
    <t>CK ASNIDA = 350RB(BRI) [ 6PCS ]</t>
  </si>
  <si>
    <t>CK NAJAH PRINTING =480RB(BRI) [ 10PCS + DTF ]</t>
  </si>
  <si>
    <t>CK ABDI = 180RB(BRI) [ DTF ]</t>
  </si>
  <si>
    <t>CK MARIA = 168RB(BCA) [ 4 PCS ]</t>
  </si>
  <si>
    <t>CK RJ = 87RB(BCA) [ 1 PCS ]</t>
  </si>
  <si>
    <t>CK IRMA = 45RB(BNI) [ ONGKIR ]</t>
  </si>
  <si>
    <t>CK BTS = 1.620RB(BCA) [27PCS ]</t>
  </si>
  <si>
    <t>CK ENAMIA = 1.200RB(BCA) [ SABLON ]</t>
  </si>
  <si>
    <t>CK VIVI = 420RB(BCA) [ DTF ]</t>
  </si>
  <si>
    <t>SHOOPE = 88RB(SHOOPE) [2 PCS ]</t>
  </si>
  <si>
    <t>CK AGUSTINO = 1.125RB(BRI) [ 27PCS ]</t>
  </si>
  <si>
    <t>CK VIVI = 135RB(BCA) [DTF ]</t>
  </si>
  <si>
    <t>CK ASNIDA = 338RB(BRI) [ PELUNASAN ]</t>
  </si>
  <si>
    <t>CK MARTIN = 1.623RB(BNI) [ 24 PSC ]</t>
  </si>
  <si>
    <t>CK 2549 A = 971RB(BCA) [ 18PCS ]</t>
  </si>
  <si>
    <t>CK BEST STIKER = 1.035RB(BCA) [ 265PCS ]</t>
  </si>
  <si>
    <t>CK NAJA PRINTING = 1.597RB(BRI) [47PCS ]</t>
  </si>
  <si>
    <t>CK MUHAMMAN PUTRA = 3.080RB(BCA) [ 36PCS ]</t>
  </si>
  <si>
    <t>CK 2549 A = 66RB(BCA) [0NGKIR ]</t>
  </si>
  <si>
    <t>CK SAULIN = 182RB(BRI) [ DTF ]</t>
  </si>
  <si>
    <t>CK  IVANA = 2.855RB(BCA) [ 43PCS ]</t>
  </si>
  <si>
    <t>CK PODAGRAFIKA = 1.408RB(BNI) [ 22PCS + DTF ]</t>
  </si>
  <si>
    <t>CK AGUSTINO = 256RB(BRI) [ 5PCS ]</t>
  </si>
  <si>
    <t>CK CHIRISTIE = 6.050RB(BCA) [ 75PCS ]</t>
  </si>
  <si>
    <t>CK MELIN = 2.300RB(BCA) [ 69PCS ]</t>
  </si>
  <si>
    <t>JOKO = 48RB(MANDIRI) [1 PCS ]</t>
  </si>
  <si>
    <t>CK GINTING = 75RB(BNI) [ 1 PCS ]</t>
  </si>
  <si>
    <t>CK 2748 A = 77RB(MANDIRI) [ 1PCS ]</t>
  </si>
  <si>
    <t>CK ARFAIN = 222RB(BRI) [ DTF ]</t>
  </si>
  <si>
    <t xml:space="preserve">CK 671 A = 120RB(BRI) [PELUNASAN] </t>
  </si>
  <si>
    <t>CK STANLY = 220RB(CASH) [ 2PCS ]</t>
  </si>
  <si>
    <t>CK 10229 A = 1.511RB(BRI) [ 20 PCS ]</t>
  </si>
  <si>
    <t>CK FAUZAN = 688RB(BRI) [ 14PCS + DTF ]</t>
  </si>
  <si>
    <t>CK ANDI = 486RB(BCA) [ 8PCS + DTF ]</t>
  </si>
  <si>
    <t>CK MELIN = 1.065RB(BCA) [ PELUNASAN ]</t>
  </si>
  <si>
    <t>CK ARFAIN = 61RB(BCA) [ DTF ]</t>
  </si>
  <si>
    <t>CK AGUSTINO = 223RB(BRI) [ 5PCS ]</t>
  </si>
  <si>
    <t>CK 9001 A = 145RB(BRI) [ DTF ]</t>
  </si>
  <si>
    <t>CK ENAMIA  = 210RB(BRI) [3PCS ]</t>
  </si>
  <si>
    <t>TOKOPEDIA1 = 105RB(TOKPEDIA) [ 2PCS ]</t>
  </si>
  <si>
    <t>TOKOPEDIA2 = 78RB(TOKOPEDIA) [ 2 PCS ]</t>
  </si>
  <si>
    <t>TOKPEDIA3 = 170RB(TOKPED) [ 4 PCS ]</t>
  </si>
  <si>
    <t>CK ARGIVA = 180RB(BCA) [ 2PSC ]</t>
  </si>
  <si>
    <t>CK KURNIAWATI = 2.675RB(BCA) [ 35PCS ]</t>
  </si>
  <si>
    <t>CK DOORKOP = 58RB(BCA) [ DTF ]</t>
  </si>
  <si>
    <t>CK ASULIN = 151RB(BRI) [ DTF ]</t>
  </si>
  <si>
    <t>CK ANDI = 18RB(BCA) [ ONGKIR ]</t>
  </si>
  <si>
    <t>CK KURNIAWATI = 180RB(BRI) [ONGKIR]</t>
  </si>
  <si>
    <t>CK ANNA = 730RB(CASH) [ 18pcs ]</t>
  </si>
  <si>
    <t>CK NAJAH PRINTING = 211RB(BRI) [ 3PCS + DTF ]</t>
  </si>
  <si>
    <t>CK FINNBERD = 996RB(BCA) [12 PCS ]</t>
  </si>
  <si>
    <t>CK TOKOPEDIA = 320RB(TOKPED) [ 6PCS ]</t>
  </si>
  <si>
    <t>CK SHOOPE = 70RB(SHOOPE) [ 1 PCS ]</t>
  </si>
  <si>
    <t>CK TOP LAUNDRY = 134RB(BRI) [ 2 PCS ]</t>
  </si>
  <si>
    <t>CK NAJA PRINTING = 40RB(BRI) [ ONGKIR ]</t>
  </si>
  <si>
    <t>CK MELANI = 70RB(BCA) [ PELUNASAN ]</t>
  </si>
  <si>
    <t>CK PERCH = 45RB(CASH) [ PELUNASAN ]</t>
  </si>
  <si>
    <t>TOKPED = 37RB(TOKPDE) [1 PCS ]</t>
  </si>
  <si>
    <t>SHOOPE = 185RB(SHOOPE) [ 4 PCS ]</t>
  </si>
  <si>
    <t>CK PROCLEAN = 130RB(BCA) [ PELUNASAN ]</t>
  </si>
  <si>
    <t>CK JEFFRI = 72RB(BRI) [ 1 PCS ]</t>
  </si>
  <si>
    <t>CK RICHARD = 110RB(MANDIRI) [ 1 PCS ]</t>
  </si>
  <si>
    <t>CK ARFAIN = 450RB(BRI) [ DTF ]</t>
  </si>
  <si>
    <t>CK IRMA = 952RB(BNI) [ 12PCS ]</t>
  </si>
  <si>
    <t>CK COD = 490RB(CASH) [ 12PCS ]</t>
  </si>
  <si>
    <t>TOKOPEDIA = 72RB(TOKOPEDIA) [ 2 PCS ]</t>
  </si>
  <si>
    <t>CK 2549 A = 586RB(BCA) [ 10PCS ]</t>
  </si>
  <si>
    <t>CK 2748 A = 82RB(MANDIRI) [ 1 PCS ]</t>
  </si>
  <si>
    <t>CK VIVI = 946RB(BCA) [DTF]</t>
  </si>
  <si>
    <t>CK FEBRI = 289RB(BCA) [ 4 PCS ]</t>
  </si>
  <si>
    <t>CK AGUSTINO = 168RB(BRI) [ 4PCS ]</t>
  </si>
  <si>
    <t>CK RIENT = 260RB(BCA) [ PELUNASAN ]</t>
  </si>
  <si>
    <t xml:space="preserve">CK ROLLER = 4.339RB(BCA) [ 72PCS + DTF </t>
  </si>
  <si>
    <t>CK ROLLER = 1.273RB(BCA) [ 18PCS + DTF ]✅</t>
  </si>
  <si>
    <t>CK VIVI = 86RB(BCA) [ DTF ]✅</t>
  </si>
  <si>
    <t>CK JUSTAN = 20RB(BCA) [ SABLON ]</t>
  </si>
  <si>
    <t>CK MABES PRINTING = 965RB(BRI) [ 22 PCS ]</t>
  </si>
  <si>
    <t>CK KRISTO = 1.098RB(SHOOPE) [10PCS ]</t>
  </si>
  <si>
    <t>CK BU SAHARA = 1.464RB(CASH) [ PELUNASAN + DP ]</t>
  </si>
  <si>
    <t>CK CMR = 200RB(BCA) [ 2PCS ]</t>
  </si>
  <si>
    <t>CK SAULIN = 102RB(BRI) [ DTF ]</t>
  </si>
  <si>
    <t>CK FAUZAN = 201RB(BCA) [ 3 PCS ]</t>
  </si>
  <si>
    <t>CK NAJAH PRINTING = 86RB(BRI) [ DTF ]</t>
  </si>
  <si>
    <t>CK DANIEL = 154RB(BCA) [ 2 PCS ]</t>
  </si>
  <si>
    <t>CK ARFAIN = 480RB(BCA) [ DTF ]</t>
  </si>
  <si>
    <t>CK MAHARANI = 176RB(BNI) [ 2 PCS ]</t>
  </si>
  <si>
    <t>CK VIVI = 688RB(BCA) [ DTF ]</t>
  </si>
  <si>
    <t>CK AGNES = 465RB(BRI) [ 6 PCS ]</t>
  </si>
  <si>
    <t>CK SAULIN = 54RB(BRI) [ DTF ]</t>
  </si>
  <si>
    <t>CK AZRAI = 792RB(MANDIRI) [ 9PCS ]</t>
  </si>
  <si>
    <t>CK MURAD = 862RB(MANDIRI) [ 9 PCS ]</t>
  </si>
  <si>
    <t>CK BU SAHARA = 552RB(CASH) [ PELUNASAN ]</t>
  </si>
  <si>
    <t>CK ROLLER = 2.984RB(BCA) [ 44 PCS ]</t>
  </si>
  <si>
    <t>CK BONSAI = 52RB(BCA) [ 1 PCS ]</t>
  </si>
  <si>
    <t>CK 2748 A = 82RB(MANDIRI) [ 1 PSC ]</t>
  </si>
  <si>
    <t>CK 2836 A = 106RB(BCA) [ 2 PCS ]</t>
  </si>
  <si>
    <t>CK VIVI = 86RB(BCA) [ DTF ]</t>
  </si>
  <si>
    <t>TOKOPEDIA = 115RB(TOKOPEDIA) [ 3 PCS ]</t>
  </si>
  <si>
    <t>CK MURAD = 312RB(MANDIRI) [ 4 PCS ]</t>
  </si>
  <si>
    <t>CK 3301 = 134RB(BRI) [ 2 PCS ]</t>
  </si>
  <si>
    <t>CK TANJUNG BALAI = 103RBRI(BRI) [ DTF ]</t>
  </si>
  <si>
    <t>CK ARFAIN = 463RB(BCA) [ DTF ]</t>
  </si>
  <si>
    <t>CK VIVI = 602RB(BCA) [ DTF ]</t>
  </si>
  <si>
    <t>CK BG EVAN = 246RB(BCA) [ PELUNASAN ]</t>
  </si>
  <si>
    <t>CK MABERS PRINTING = 679RB(BRI) [ 17PCS ]</t>
  </si>
  <si>
    <t>CK MARIA = 138RB(BRI) [ 2 PCS ]</t>
  </si>
  <si>
    <t>CK PERCH = 204RB(BCA) [ 3PCS ]</t>
  </si>
  <si>
    <t>MASA REKLAME = 32RB(CSAH) [ PELUNASAN ]</t>
  </si>
  <si>
    <t>CK MABERS PRINTING = 530RB(BRI) [ 12 PSC ]</t>
  </si>
  <si>
    <t>CK ARFAIN = 260RB(BCA) [ DTF ]</t>
  </si>
  <si>
    <t>CK MARIA  =116RB(BCA) [ 2 PCS ]</t>
  </si>
  <si>
    <t>CK VIVI = 344RB(BCA) [ DTF ]</t>
  </si>
  <si>
    <t>DEDI = 1.110RB(BCA) [ PELUNASAN ]</t>
  </si>
  <si>
    <t>CK 3117A = 875RB(BNI) [ TOPI ]</t>
  </si>
  <si>
    <t>CK PODA = 8.025RB(MANDIRI) [ 200PCS + DTF ]</t>
  </si>
  <si>
    <t>CK PODA GRAFIKAS = 587RB(MANDIRI) [ 16 PCS ]</t>
  </si>
  <si>
    <t>CK ARFAIN = 88RB(BCA) [ DTF ]</t>
  </si>
  <si>
    <t>CK ROLLER = 358RB(BCA) [ 3 PCS + DTF ]</t>
  </si>
  <si>
    <t xml:space="preserve">CK DELAUNDRY = 1.152RB(BCA) [ 16 PCS ] </t>
  </si>
  <si>
    <t>CK 10712 A = 194RB(BNI) [ 2 PCS ]</t>
  </si>
  <si>
    <t>CK CSTMR HARIS = 200RB(BRI) [ 7PCS ]</t>
  </si>
  <si>
    <t>CK HARDIANSYAH = 77RB(BNI) [ 1 PCS ]</t>
  </si>
  <si>
    <t>CK 3323 A = 84RB(CASH) [ 2 PSC ]</t>
  </si>
  <si>
    <t>tokped = 193rb(tokped) [ 5pcs ]</t>
  </si>
  <si>
    <t>CK ARFAIN = 53RB(BCA) [ DTF ]</t>
  </si>
  <si>
    <t>CK 2748 A = 72RB(MANDIRI) [ 1 PCS ]</t>
  </si>
  <si>
    <t>CK 3323 A = 420RB(BRI) [ PELUNASAN ]</t>
  </si>
  <si>
    <t>CK RAMJANE = 5.775RB(BRI) [ 72 PCS ]</t>
  </si>
  <si>
    <t>CK COSTUMER HARIS = 336RB(BRI) [ PELUNASAN + 1 ]</t>
  </si>
  <si>
    <t>SHOOPE = 234RB(SHOOPE) [ 5 PCS ]</t>
  </si>
  <si>
    <t>CK RIDHA = 950RB(BCA) [ 12PCS ]✅</t>
  </si>
  <si>
    <t>DTF VIVI = 602RB(BCA) [ DTF ]❌</t>
  </si>
  <si>
    <t>ACE AYONG(1-6-2026) = 130RB [ PELUNASAN ]</t>
  </si>
  <si>
    <t>CK FAUZAN = 1.770RB(BCA) [ 27PCS ]</t>
  </si>
  <si>
    <t>CK ARFAIN = 15RB(BCA) [ DTF ]</t>
  </si>
  <si>
    <t>CK 10147 A = 160RB(BNI) [ BENDERA ]</t>
  </si>
  <si>
    <t>CK TWINDA = 1.500RB(BRI) [ 50PCS ]</t>
  </si>
  <si>
    <t>CK RIDA = 134RB(BCA) [ 2 PCS ]</t>
  </si>
  <si>
    <t>CK RJM = 279RB(BCA) [ 3PCS ]</t>
  </si>
  <si>
    <t>CK ARFAIN = 10RB(BCA) [ PELUNASAN ]</t>
  </si>
  <si>
    <t>CK 10147 = 30RB(BRI) [ ONGKIR ]</t>
  </si>
  <si>
    <t>CK RIDHA = 25RB(BCA) [ ONGKIR ]</t>
  </si>
  <si>
    <t>CK 10715 A = 280RB(BCA) [ 2 PCS ]</t>
  </si>
  <si>
    <t>CK TARUTUNG = 3.800RB(BCA) [ 50PCS ]</t>
  </si>
  <si>
    <t>CK JUANDA = 921RB(BRI) [18PCS + DTF ]</t>
  </si>
  <si>
    <t>CK BG ARIEL = 2.035RB(BCA) [ PELUNASAN ]</t>
  </si>
  <si>
    <t>CK RIENT = 130RB(BCA) [ PELUNASAN ]</t>
  </si>
  <si>
    <t>CK TWINDA = 1.305RB(BRI) [ PELUNASAN ]</t>
  </si>
  <si>
    <t>CK VIVI = 5.203RB(BCA) [ DTF ]</t>
  </si>
  <si>
    <t>CK NAJA PRINTING = 409RB(BCA) [ 8 PCS + DTF ]</t>
  </si>
  <si>
    <t>CK RONI  = 1.135RB(BRI) [ 20PCS ]</t>
  </si>
  <si>
    <t>CK 10101 = 50RB(BRI) [ 1 PCS ]</t>
  </si>
  <si>
    <t>CK VIVI = 1.075RB(BCA) [DTF ]</t>
  </si>
  <si>
    <t>CK NAJA PRINTING = 25RB(BRI) [ DTF ]</t>
  </si>
  <si>
    <t>CK MARIA = 168RB(BCA) [ 3 PCS [</t>
  </si>
  <si>
    <t>CK FAUZAN = 705RB(BCA) [ 14PCS + DTF ]</t>
  </si>
  <si>
    <t>CK 10101 = 222RB(CAH) [ PELUNASAN ]</t>
  </si>
  <si>
    <t>CK MASA REKLAME = 22RB(CASH) [ PELUNASAN ]</t>
  </si>
  <si>
    <t>CK DHANI = 310RB(BCA) [ 5 PCS ]</t>
  </si>
  <si>
    <t>CK IVAN = 350RB(BRI) [ 4 PCS ]</t>
  </si>
  <si>
    <t>CK FAUZAN = 1.009RB(BCA) [ 24 PCS ]</t>
  </si>
  <si>
    <t>CK ARFAIN = 520RB(BCA) [ DTF ]</t>
  </si>
  <si>
    <t>CK HENNY = 2.071RB(BNI) [ 27PCS ]</t>
  </si>
  <si>
    <t>CK CANTIK MANIS = 800RB(BCA) [ 10PCS ]</t>
  </si>
  <si>
    <t>CK RIZAL = 174RB(BNI) [ 3 PCS ]</t>
  </si>
  <si>
    <t>CK RIZAL = 87RB(BNI) [ 1PCS ]</t>
  </si>
  <si>
    <t>CK GINTING = 4.100RB(BRI) [ 119 PCS ]</t>
  </si>
  <si>
    <t>CK SHOOPE = 79RB(SHOOPE) [ 2PCS ]</t>
  </si>
  <si>
    <t>TOKOPEDIA = 139RB (TOKPED) [ 3 PCS ]</t>
  </si>
  <si>
    <t>CK NAJAH PRINTING = 40RB(BRI) [ DTF ]</t>
  </si>
  <si>
    <t>CK BG DAVID = 270RB(MANDIRI) [PELUNASAN]</t>
  </si>
  <si>
    <t>CK BEST STIKRE = 208RB(BCA) [ 4PCS ]</t>
  </si>
  <si>
    <t>CK RIZQI = 1.005RB(BNI) [ 15PCS ]</t>
  </si>
  <si>
    <t>CK MASA REKLAME = 128RB(CASH) [ DTF ]</t>
  </si>
  <si>
    <t>CK GINTING =2.016RB(BRI) [ PELUNASAN ]</t>
  </si>
  <si>
    <t>CK 10273 A = 114RB(MANDIRI) [ 2PCS ]</t>
  </si>
  <si>
    <t>CK TOKPED =  256RB(TOKPED) [ 6 PCS ]</t>
  </si>
  <si>
    <t>CK ASNIDA = 250RB(BCA) [ 6 PCS ]</t>
  </si>
  <si>
    <t>CK IBU REUNI = 1.000RB(BCA) [ DP ]</t>
  </si>
  <si>
    <t>CK FARISI = 320RB(BCA) [ 4 PCS ]</t>
  </si>
  <si>
    <t>CK 10712A = 900RB(BNI) [ 32 PCS ]</t>
  </si>
  <si>
    <t>CK 10712 A = 1080RB(BNI)[ PELUNASAN + TAMBAHAN 3 ]</t>
  </si>
  <si>
    <t>CK FAUZAN SIBLOGA = 4.041(BCA) [108PCS ]</t>
  </si>
  <si>
    <t>CK ASNIDA = 180RB(BCA) [ PELUNASAN ]</t>
  </si>
  <si>
    <t>CK RZ = 174RB(BCA) [ 2PCS ]</t>
  </si>
  <si>
    <t>CK FAUZAN = 738RB(BCA) [ 11PCS + DTF ]</t>
  </si>
  <si>
    <t>CK 10712 A = 960RB(BNI) [ PELUNASAN ]</t>
  </si>
  <si>
    <t>OWEN = 70RB(BNI) [PELUNASAN ]</t>
  </si>
  <si>
    <t xml:space="preserve">TOKPED = 202RB(TOKPED) [ 4 PCS </t>
  </si>
  <si>
    <t>CK PAK ARNOL = 3.032RB(BRI) [ 43PCS ]</t>
  </si>
  <si>
    <t>CK FAUZAN = 291RB(BCA) [ 4PCS ]</t>
  </si>
  <si>
    <t>CK WENDI = 130RB(BNI) [ 2 PCS ]</t>
  </si>
  <si>
    <t xml:space="preserve"> </t>
  </si>
  <si>
    <t>CK GINTING = 3.300RB(BRI) [ 81PCS ]</t>
  </si>
  <si>
    <t>CK ARFAIN = 295RB(BCA) [ DTF ]</t>
  </si>
  <si>
    <t>SHOOPE = 92RB(SHOOPE) [ 2 PCS ]</t>
  </si>
  <si>
    <t>CK VIVI = 172RB(BCA) [ DTF ]</t>
  </si>
  <si>
    <t>CK NAJAH PRINTING = 2.144RB(BRI) [ 50PCS + DTF ]</t>
  </si>
  <si>
    <t>CK BEST STIKER = 1.355RB(BCA) [ 33PCS ]</t>
  </si>
  <si>
    <t>CK GINTING = 2.100RB(BRI) [PELUNASAN ]</t>
  </si>
  <si>
    <t>PAK ARNOL = 630RB(BRI) [ 9 PCS ]</t>
  </si>
  <si>
    <t>CK AGUSTINO = 270RB(BRI) [ 6PCS ]</t>
  </si>
  <si>
    <t>CK FAUZAN = 280RB(BCA) [6PCS + DTF ]</t>
  </si>
  <si>
    <t>CK SINDY = 1.240RB(BCA) [ 14PCS ]</t>
  </si>
  <si>
    <t>CK GINTING = 50RB(BRI) [ 3 PCS ]</t>
  </si>
  <si>
    <t>CK IBU KAOS REUNI = 2.010RB(BCA) [ PELUNASAN ]</t>
  </si>
  <si>
    <t>CK HARMEN = 2.450RB(BNI) [ 32 PCS ]</t>
  </si>
  <si>
    <t>CK GINTING = 357RB(BRI) [ 4PCS + PELUNASAN ]</t>
  </si>
  <si>
    <t>CK ANITA = 475RB(BCA) [SABLON + PELUNASAN ]</t>
  </si>
  <si>
    <t>CK JEFFRY = 92RB(MANDIRI) [1 PCS ]</t>
  </si>
  <si>
    <t>CK JUANDA = 53RB(BNI) [ DTF ]</t>
  </si>
  <si>
    <t>CK ASNIDA =353B(BRI) [ 4 PCS ]</t>
  </si>
  <si>
    <t>CK HERMAN = 1.326RB(BNI) [ 2 PCS + PELUNASAN ]</t>
  </si>
  <si>
    <t>CK 13420 = 588RB(BNI) [ 12PCS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</si>
</sst>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p&quot;* #,##0_-;\-&quot;Rp&quot;* #,##0_-;_-&quot;Rp&quot;* &quot;-&quot;_-;_-@_-"/>
    <numFmt numFmtId="164" formatCode="_-&quot;Rp&quot;* #,##0.000_-;\-&quot;Rp&quot;* #,##0.000_-;_-&quot;Rp&quot;* &quot;-&quot;_-;_-@_-"/>
    <numFmt numFmtId="165" formatCode="_-&quot;Rp&quot;* #,##0.000_-;\-&quot;Rp&quot;* #,##0.000_-;_-&quot;Rp&quot;* &quot;-&quot;???_-;_-@_-"/>
    <numFmt numFmtId="166" formatCode="_-[$Rp-3809]* #,##0.000_-;\-[$Rp-3809]* #,##0.000_-;_-[$Rp-3809]* &quot;-&quot;??_-;_-@_-"/>
    <numFmt numFmtId="167" formatCode="_-[$Rp-3809]* #,##0.000_-;\-[$Rp-3809]* #,##0.000_-;_-[$Rp-3809]* &quot;-&quot;???_-;_-@_-"/>
    <numFmt numFmtId="168" formatCode="_-[$Rp-3809]* #,##0.00000_-;\-[$Rp-3809]* #,##0.00000_-;_-[$Rp-3809]* &quot;-&quot;??_-;_-@_-"/>
    <numFmt numFmtId="169" formatCode="_-[$Rp-3809]* #,##0.0000_-;\-[$Rp-3809]* #,##0.0000_-;_-[$Rp-3809]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Montserrat SemiBold"/>
    </font>
    <font>
      <sz val="12"/>
      <name val="Montserrat SemiBold"/>
    </font>
    <font>
      <sz val="18"/>
      <name val="Montserrat Black"/>
    </font>
    <font>
      <sz val="10"/>
      <color theme="1"/>
      <name val="Montserrat SemiBold"/>
    </font>
    <font>
      <sz val="12"/>
      <color theme="0"/>
      <name val="Montserrat SemiBold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6AEAA"/>
        <bgColor indexed="64"/>
      </patternFill>
    </fill>
    <fill>
      <patternFill patternType="solid">
        <fgColor rgb="FF4AFC68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27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2" fillId="4" borderId="2" xfId="0" applyNumberFormat="1" applyFont="1" applyFill="1" applyBorder="1" applyAlignment="1">
      <alignment horizontal="center" vertical="center"/>
    </xf>
    <xf numFmtId="164" fontId="2" fillId="7" borderId="2" xfId="0" applyNumberFormat="1" applyFont="1" applyFill="1" applyBorder="1" applyAlignment="1">
      <alignment horizontal="center" vertical="center"/>
    </xf>
    <xf numFmtId="164" fontId="2" fillId="4" borderId="1" xfId="1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64" fontId="2" fillId="11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1" fontId="2" fillId="8" borderId="2" xfId="1" applyNumberFormat="1" applyFont="1" applyFill="1" applyBorder="1" applyAlignment="1">
      <alignment horizontal="center" vertical="center"/>
    </xf>
    <xf numFmtId="164" fontId="2" fillId="8" borderId="2" xfId="1" applyNumberFormat="1" applyFont="1" applyFill="1" applyBorder="1" applyAlignment="1">
      <alignment horizontal="center" vertical="center"/>
    </xf>
    <xf numFmtId="1" fontId="2" fillId="7" borderId="2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/>
    </xf>
    <xf numFmtId="164" fontId="2" fillId="0" borderId="1" xfId="1" applyNumberFormat="1" applyFont="1" applyBorder="1" applyAlignment="1">
      <alignment horizontal="left" vertical="center" wrapText="1"/>
    </xf>
    <xf numFmtId="164" fontId="2" fillId="0" borderId="1" xfId="1" applyNumberFormat="1" applyFont="1" applyBorder="1" applyAlignment="1">
      <alignment horizontal="left" vertical="center"/>
    </xf>
    <xf numFmtId="164" fontId="2" fillId="11" borderId="1" xfId="1" applyNumberFormat="1" applyFont="1" applyFill="1" applyBorder="1" applyAlignment="1">
      <alignment vertical="center" wrapText="1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42" fontId="2" fillId="2" borderId="6" xfId="1" applyFont="1" applyFill="1" applyBorder="1"/>
    <xf numFmtId="0" fontId="2" fillId="0" borderId="3" xfId="0" applyFont="1" applyBorder="1" applyAlignment="1">
      <alignment horizontal="center" vertical="center"/>
    </xf>
    <xf numFmtId="14" fontId="2" fillId="0" borderId="3" xfId="0" applyNumberFormat="1" applyFont="1" applyBorder="1"/>
    <xf numFmtId="164" fontId="2" fillId="5" borderId="7" xfId="1" applyNumberFormat="1" applyFont="1" applyFill="1" applyBorder="1" applyAlignment="1">
      <alignment horizontal="center" vertical="center"/>
    </xf>
    <xf numFmtId="164" fontId="2" fillId="5" borderId="6" xfId="0" applyNumberFormat="1" applyFont="1" applyFill="1" applyBorder="1" applyAlignment="1">
      <alignment horizontal="center" vertical="center"/>
    </xf>
    <xf numFmtId="164" fontId="2" fillId="11" borderId="2" xfId="1" applyNumberFormat="1" applyFont="1" applyFill="1" applyBorder="1" applyAlignment="1">
      <alignment vertical="center" wrapText="1"/>
    </xf>
    <xf numFmtId="164" fontId="2" fillId="11" borderId="7" xfId="1" applyNumberFormat="1" applyFont="1" applyFill="1" applyBorder="1" applyAlignment="1">
      <alignment vertical="center" wrapText="1"/>
    </xf>
    <xf numFmtId="164" fontId="2" fillId="11" borderId="6" xfId="0" applyNumberFormat="1" applyFont="1" applyFill="1" applyBorder="1" applyAlignment="1">
      <alignment horizontal="center" vertical="center"/>
    </xf>
    <xf numFmtId="164" fontId="2" fillId="11" borderId="3" xfId="1" applyNumberFormat="1" applyFont="1" applyFill="1" applyBorder="1" applyAlignment="1">
      <alignment vertical="center" wrapText="1"/>
    </xf>
    <xf numFmtId="164" fontId="2" fillId="11" borderId="4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left" vertical="center"/>
    </xf>
    <xf numFmtId="164" fontId="2" fillId="4" borderId="2" xfId="1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2" fillId="4" borderId="6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 vertical="center"/>
    </xf>
    <xf numFmtId="164" fontId="2" fillId="4" borderId="3" xfId="1" applyNumberFormat="1" applyFont="1" applyFill="1" applyBorder="1" applyAlignment="1">
      <alignment horizontal="center" vertical="center"/>
    </xf>
    <xf numFmtId="164" fontId="2" fillId="4" borderId="4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center" vertical="center"/>
    </xf>
    <xf numFmtId="164" fontId="2" fillId="6" borderId="7" xfId="1" applyNumberFormat="1" applyFont="1" applyFill="1" applyBorder="1"/>
    <xf numFmtId="0" fontId="2" fillId="6" borderId="7" xfId="0" applyFont="1" applyFill="1" applyBorder="1"/>
    <xf numFmtId="164" fontId="2" fillId="6" borderId="6" xfId="0" applyNumberFormat="1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left" vertical="center"/>
    </xf>
    <xf numFmtId="0" fontId="3" fillId="8" borderId="3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1" fontId="2" fillId="4" borderId="6" xfId="0" applyNumberFormat="1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1" fontId="3" fillId="9" borderId="6" xfId="0" applyNumberFormat="1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164" fontId="2" fillId="10" borderId="6" xfId="0" applyNumberFormat="1" applyFont="1" applyFill="1" applyBorder="1" applyAlignment="1">
      <alignment horizontal="center" vertical="center"/>
    </xf>
    <xf numFmtId="165" fontId="2" fillId="2" borderId="7" xfId="0" applyNumberFormat="1" applyFont="1" applyFill="1" applyBorder="1" applyAlignment="1">
      <alignment horizontal="center" vertical="center"/>
    </xf>
    <xf numFmtId="165" fontId="2" fillId="2" borderId="6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11" borderId="5" xfId="0" applyFont="1" applyFill="1" applyBorder="1" applyAlignment="1">
      <alignment horizontal="left" vertical="center" wrapText="1"/>
    </xf>
    <xf numFmtId="0" fontId="2" fillId="11" borderId="2" xfId="0" applyFont="1" applyFill="1" applyBorder="1" applyAlignment="1">
      <alignment horizontal="left" vertical="center" wrapText="1"/>
    </xf>
    <xf numFmtId="0" fontId="2" fillId="11" borderId="1" xfId="0" applyFont="1" applyFill="1" applyBorder="1" applyAlignment="1">
      <alignment horizontal="left" vertical="center" wrapText="1"/>
    </xf>
    <xf numFmtId="0" fontId="2" fillId="11" borderId="3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/>
    </xf>
    <xf numFmtId="0" fontId="2" fillId="6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9" borderId="5" xfId="0" applyFont="1" applyFill="1" applyBorder="1" applyAlignment="1">
      <alignment horizontal="left" vertical="center"/>
    </xf>
    <xf numFmtId="0" fontId="2" fillId="10" borderId="5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2" xfId="0" applyFont="1" applyBorder="1"/>
    <xf numFmtId="0" fontId="2" fillId="0" borderId="5" xfId="0" applyFont="1" applyBorder="1" applyAlignment="1">
      <alignment horizontal="left" vertical="center"/>
    </xf>
    <xf numFmtId="14" fontId="2" fillId="0" borderId="7" xfId="0" applyNumberFormat="1" applyFont="1" applyBorder="1"/>
    <xf numFmtId="14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164" fontId="2" fillId="0" borderId="2" xfId="0" applyNumberFormat="1" applyFont="1" applyBorder="1" applyAlignment="1">
      <alignment horizontal="left" vertical="center" wrapText="1"/>
    </xf>
    <xf numFmtId="0" fontId="2" fillId="2" borderId="5" xfId="0" applyFont="1" applyFill="1" applyBorder="1" applyAlignment="1">
      <alignment horizontal="left" vertical="center" wrapText="1"/>
    </xf>
    <xf numFmtId="165" fontId="2" fillId="10" borderId="7" xfId="0" applyNumberFormat="1" applyFont="1" applyFill="1" applyBorder="1" applyAlignment="1">
      <alignment horizontal="center" vertical="center"/>
    </xf>
    <xf numFmtId="42" fontId="2" fillId="6" borderId="7" xfId="1" applyFont="1" applyFill="1" applyBorder="1"/>
    <xf numFmtId="164" fontId="2" fillId="10" borderId="7" xfId="1" applyNumberFormat="1" applyFont="1" applyFill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/>
    <xf numFmtId="14" fontId="2" fillId="12" borderId="1" xfId="0" applyNumberFormat="1" applyFont="1" applyFill="1" applyBorder="1"/>
    <xf numFmtId="0" fontId="5" fillId="5" borderId="2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3" fontId="2" fillId="0" borderId="1" xfId="0" applyNumberFormat="1" applyFont="1" applyBorder="1" applyAlignment="1">
      <alignment horizontal="center" vertical="center"/>
    </xf>
    <xf numFmtId="3" fontId="2" fillId="6" borderId="7" xfId="0" applyNumberFormat="1" applyFont="1" applyFill="1" applyBorder="1"/>
    <xf numFmtId="3" fontId="2" fillId="7" borderId="2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/>
    <xf numFmtId="0" fontId="2" fillId="12" borderId="1" xfId="0" applyFont="1" applyFill="1" applyBorder="1" applyAlignment="1">
      <alignment horizontal="left" vertical="center"/>
    </xf>
    <xf numFmtId="0" fontId="2" fillId="12" borderId="1" xfId="0" applyFont="1" applyFill="1" applyBorder="1"/>
    <xf numFmtId="3" fontId="3" fillId="8" borderId="1" xfId="0" applyNumberFormat="1" applyFont="1" applyFill="1" applyBorder="1" applyAlignment="1">
      <alignment horizontal="center" vertical="center"/>
    </xf>
    <xf numFmtId="3" fontId="3" fillId="8" borderId="3" xfId="0" applyNumberFormat="1" applyFont="1" applyFill="1" applyBorder="1" applyAlignment="1">
      <alignment horizontal="center" vertical="center"/>
    </xf>
    <xf numFmtId="3" fontId="2" fillId="12" borderId="1" xfId="0" applyNumberFormat="1" applyFont="1" applyFill="1" applyBorder="1"/>
    <xf numFmtId="164" fontId="2" fillId="7" borderId="2" xfId="1" applyNumberFormat="1" applyFont="1" applyFill="1" applyBorder="1" applyAlignment="1">
      <alignment horizontal="center" vertical="center"/>
    </xf>
    <xf numFmtId="1" fontId="2" fillId="8" borderId="4" xfId="1" applyNumberFormat="1" applyFont="1" applyFill="1" applyBorder="1" applyAlignment="1">
      <alignment horizontal="center" vertical="center"/>
    </xf>
    <xf numFmtId="165" fontId="3" fillId="8" borderId="1" xfId="0" applyNumberFormat="1" applyFont="1" applyFill="1" applyBorder="1" applyAlignment="1">
      <alignment horizontal="center" vertical="center"/>
    </xf>
    <xf numFmtId="166" fontId="2" fillId="10" borderId="7" xfId="0" applyNumberFormat="1" applyFont="1" applyFill="1" applyBorder="1" applyAlignment="1">
      <alignment horizontal="center" vertical="center"/>
    </xf>
    <xf numFmtId="166" fontId="2" fillId="12" borderId="1" xfId="0" applyNumberFormat="1" applyFont="1" applyFill="1" applyBorder="1"/>
    <xf numFmtId="166" fontId="2" fillId="0" borderId="1" xfId="0" applyNumberFormat="1" applyFont="1" applyBorder="1"/>
    <xf numFmtId="166" fontId="2" fillId="0" borderId="1" xfId="1" applyNumberFormat="1" applyFont="1" applyBorder="1"/>
    <xf numFmtId="167" fontId="2" fillId="10" borderId="7" xfId="0" applyNumberFormat="1" applyFont="1" applyFill="1" applyBorder="1" applyAlignment="1">
      <alignment horizontal="center" vertical="center"/>
    </xf>
    <xf numFmtId="166" fontId="2" fillId="6" borderId="7" xfId="0" applyNumberFormat="1" applyFont="1" applyFill="1" applyBorder="1"/>
    <xf numFmtId="168" fontId="2" fillId="7" borderId="2" xfId="0" applyNumberFormat="1" applyFont="1" applyFill="1" applyBorder="1" applyAlignment="1">
      <alignment horizontal="center" vertical="center"/>
    </xf>
    <xf numFmtId="166" fontId="2" fillId="7" borderId="2" xfId="0" applyNumberFormat="1" applyFont="1" applyFill="1" applyBorder="1" applyAlignment="1">
      <alignment horizontal="center" vertical="center"/>
    </xf>
    <xf numFmtId="166" fontId="2" fillId="6" borderId="7" xfId="1" applyNumberFormat="1" applyFont="1" applyFill="1" applyBorder="1"/>
    <xf numFmtId="3" fontId="2" fillId="7" borderId="1" xfId="0" applyNumberFormat="1" applyFont="1" applyFill="1" applyBorder="1" applyAlignment="1">
      <alignment horizontal="center" vertical="center"/>
    </xf>
    <xf numFmtId="3" fontId="3" fillId="4" borderId="7" xfId="0" applyNumberFormat="1" applyFont="1" applyFill="1" applyBorder="1" applyAlignment="1">
      <alignment horizontal="center" vertical="center"/>
    </xf>
    <xf numFmtId="1" fontId="3" fillId="4" borderId="7" xfId="0" applyNumberFormat="1" applyFont="1" applyFill="1" applyBorder="1" applyAlignment="1">
      <alignment horizontal="center" vertical="center"/>
    </xf>
    <xf numFmtId="164" fontId="2" fillId="6" borderId="7" xfId="0" applyNumberFormat="1" applyFont="1" applyFill="1" applyBorder="1"/>
    <xf numFmtId="3" fontId="3" fillId="9" borderId="7" xfId="0" applyNumberFormat="1" applyFont="1" applyFill="1" applyBorder="1" applyAlignment="1">
      <alignment horizontal="center" vertical="center"/>
    </xf>
    <xf numFmtId="3" fontId="2" fillId="10" borderId="7" xfId="0" applyNumberFormat="1" applyFont="1" applyFill="1" applyBorder="1" applyAlignment="1">
      <alignment horizontal="center" vertical="center"/>
    </xf>
    <xf numFmtId="169" fontId="2" fillId="7" borderId="2" xfId="0" applyNumberFormat="1" applyFont="1" applyFill="1" applyBorder="1" applyAlignment="1">
      <alignment horizontal="center" vertical="center"/>
    </xf>
    <xf numFmtId="0" fontId="6" fillId="0" borderId="1" xfId="0" applyFont="1" applyBorder="1"/>
    <xf numFmtId="14" fontId="2" fillId="0" borderId="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164" fontId="2" fillId="0" borderId="4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2">
    <cellStyle name="Currency [0]" xfId="1" builtinId="7"/>
    <cellStyle name="Normal" xfId="0" builtinId="0"/>
  </cellStyles>
  <dxfs count="0"/>
  <tableStyles count="0" defaultTableStyle="TableStyleMedium2" defaultPivotStyle="PivotStyleLight16"/>
  <colors>
    <mruColors>
      <color rgb="FF00FFFF"/>
      <color rgb="FF16AEAA"/>
      <color rgb="FF66FFFF"/>
      <color rgb="FF4AFC68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JANUARI!$B$71:$B$75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JANUARI!$C$71:$C$75</c:f>
              <c:numCache>
                <c:formatCode>_-"Rp"* #,##0.000_-;\-"Rp"* #,##0.000_-;_-"Rp"* "-"_-;_-@_-</c:formatCode>
                <c:ptCount val="5"/>
                <c:pt idx="0">
                  <c:v>36990</c:v>
                </c:pt>
                <c:pt idx="1">
                  <c:v>612</c:v>
                </c:pt>
                <c:pt idx="2">
                  <c:v>5640</c:v>
                </c:pt>
                <c:pt idx="3">
                  <c:v>1474</c:v>
                </c:pt>
                <c:pt idx="4">
                  <c:v>14842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4-4375-95F1-68A2A3FA3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FEBRUARI!$B$71:$B$75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FEBRUARI!$C$71:$C$75</c:f>
              <c:numCache>
                <c:formatCode>_-"Rp"* #,##0.000_-;\-"Rp"* #,##0.000_-;_-"Rp"* "-"_-;_-@_-</c:formatCode>
                <c:ptCount val="5"/>
                <c:pt idx="0">
                  <c:v>42135</c:v>
                </c:pt>
                <c:pt idx="1">
                  <c:v>1328</c:v>
                </c:pt>
                <c:pt idx="2">
                  <c:v>12212</c:v>
                </c:pt>
                <c:pt idx="3">
                  <c:v>5049</c:v>
                </c:pt>
                <c:pt idx="4">
                  <c:v>36656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9-47AC-A967-978E6C979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MARET!$B$71:$B$75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MARET!$C$71:$C$75</c:f>
              <c:numCache>
                <c:formatCode>_-"Rp"* #,##0.000_-;\-"Rp"* #,##0.000_-;_-"Rp"* "-"_-;_-@_-</c:formatCode>
                <c:ptCount val="5"/>
                <c:pt idx="0">
                  <c:v>26525</c:v>
                </c:pt>
                <c:pt idx="1">
                  <c:v>1670</c:v>
                </c:pt>
                <c:pt idx="2">
                  <c:v>6710</c:v>
                </c:pt>
                <c:pt idx="3">
                  <c:v>15867</c:v>
                </c:pt>
                <c:pt idx="4">
                  <c:v>34166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E2-4921-99AA-ACCFEF260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APRIL!$B$71:$B$75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APRIL!$C$71:$C$75</c:f>
              <c:numCache>
                <c:formatCode>_-"Rp"* #,##0.000_-;\-"Rp"* #,##0.000_-;_-"Rp"* "-"_-;_-@_-</c:formatCode>
                <c:ptCount val="5"/>
                <c:pt idx="0">
                  <c:v>41912</c:v>
                </c:pt>
                <c:pt idx="1">
                  <c:v>2277</c:v>
                </c:pt>
                <c:pt idx="2">
                  <c:v>10101</c:v>
                </c:pt>
                <c:pt idx="3">
                  <c:v>9174</c:v>
                </c:pt>
                <c:pt idx="4">
                  <c:v>106222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C-4916-953F-0C7B8AADC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MEI!$B$71:$B$75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MEI!$C$71:$C$75</c:f>
              <c:numCache>
                <c:formatCode>_-"Rp"* #,##0.000_-;\-"Rp"* #,##0.000_-;_-"Rp"* "-"_-;_-@_-</c:formatCode>
                <c:ptCount val="5"/>
                <c:pt idx="0">
                  <c:v>97974</c:v>
                </c:pt>
                <c:pt idx="1">
                  <c:v>3093</c:v>
                </c:pt>
                <c:pt idx="2">
                  <c:v>33368</c:v>
                </c:pt>
                <c:pt idx="3">
                  <c:v>17803</c:v>
                </c:pt>
                <c:pt idx="4">
                  <c:v>64606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0-417E-9A07-B15F1D936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JUNI!$B$71:$B$75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JUNI!$C$71:$C$75</c:f>
              <c:numCache>
                <c:formatCode>_-"Rp"* #,##0.000_-;\-"Rp"* #,##0.000_-;_-"Rp"* "-"_-;_-@_-</c:formatCode>
                <c:ptCount val="5"/>
                <c:pt idx="0">
                  <c:v>51970</c:v>
                </c:pt>
                <c:pt idx="1">
                  <c:v>2085</c:v>
                </c:pt>
                <c:pt idx="2">
                  <c:v>13423</c:v>
                </c:pt>
                <c:pt idx="3">
                  <c:v>23297</c:v>
                </c:pt>
                <c:pt idx="4">
                  <c:v>68509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1-4A9F-807D-32675C08C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JULI!$B$71:$B$75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JULI!$C$71:$C$75</c:f>
              <c:numCache>
                <c:formatCode>_-"Rp"* #,##0.000_-;\-"Rp"* #,##0.000_-;_-"Rp"* "-"_-;_-@_-</c:formatCode>
                <c:ptCount val="5"/>
                <c:pt idx="0">
                  <c:v>63976</c:v>
                </c:pt>
                <c:pt idx="1">
                  <c:v>2806</c:v>
                </c:pt>
                <c:pt idx="2">
                  <c:v>18656</c:v>
                </c:pt>
                <c:pt idx="3">
                  <c:v>32634</c:v>
                </c:pt>
                <c:pt idx="4">
                  <c:v>79882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3-4B33-AFC4-2FBFA9351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AGUSTUS!$B$71:$B$75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AGUSTUS!$C$71:$C$75</c:f>
              <c:numCache>
                <c:formatCode>_-"Rp"* #,##0.000_-;\-"Rp"* #,##0.000_-;_-"Rp"* "-"_-;_-@_-</c:formatCode>
                <c:ptCount val="5"/>
                <c:pt idx="0">
                  <c:v>79886</c:v>
                </c:pt>
                <c:pt idx="1">
                  <c:v>2380</c:v>
                </c:pt>
                <c:pt idx="2">
                  <c:v>21426</c:v>
                </c:pt>
                <c:pt idx="3">
                  <c:v>24159</c:v>
                </c:pt>
                <c:pt idx="4">
                  <c:v>97789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3-459F-B0A1-2C70D0B62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SEPTEMBER!$B$71:$B$75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SEPTEMBER!$C$71:$C$75</c:f>
              <c:numCache>
                <c:formatCode>_-"Rp"* #,##0.000_-;\-"Rp"* #,##0.000_-;_-"Rp"* "-"_-;_-@_-</c:formatCode>
                <c:ptCount val="5"/>
                <c:pt idx="0">
                  <c:v>41729</c:v>
                </c:pt>
                <c:pt idx="1">
                  <c:v>2436</c:v>
                </c:pt>
                <c:pt idx="2">
                  <c:v>15776</c:v>
                </c:pt>
                <c:pt idx="3">
                  <c:v>12663</c:v>
                </c:pt>
                <c:pt idx="4">
                  <c:v>51486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6-482F-86AD-B44449FFD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OKTOBER!$B$71:$B$75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OKTOBER!$C$71:$C$75</c:f>
              <c:numCache>
                <c:formatCode>_-"Rp"* #,##0.000_-;\-"Rp"* #,##0.000_-;_-"Rp"* "-"_-;_-@_-</c:formatCode>
                <c:ptCount val="5"/>
                <c:pt idx="0">
                  <c:v>180016</c:v>
                </c:pt>
                <c:pt idx="1">
                  <c:v>2977</c:v>
                </c:pt>
                <c:pt idx="2">
                  <c:v>54285</c:v>
                </c:pt>
                <c:pt idx="3">
                  <c:v>19605</c:v>
                </c:pt>
                <c:pt idx="4">
                  <c:v>183001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06-412F-8FBB-B9712ADE5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NOVEMBER!$B$71:$B$75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NOVEMBER!$C$71:$C$75</c:f>
              <c:numCache>
                <c:formatCode>_-"Rp"* #,##0.000_-;\-"Rp"* #,##0.000_-;_-"Rp"* "-"_-;_-@_-</c:formatCode>
                <c:ptCount val="5"/>
                <c:pt idx="0">
                  <c:v>73031</c:v>
                </c:pt>
                <c:pt idx="1">
                  <c:v>2499</c:v>
                </c:pt>
                <c:pt idx="2">
                  <c:v>24230</c:v>
                </c:pt>
                <c:pt idx="3">
                  <c:v>8286</c:v>
                </c:pt>
                <c:pt idx="4">
                  <c:v>59402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8-4D11-95AE-9F0BDCD62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  <a:latin typeface="Montserrat Black" pitchFamily="2" charset="0"/>
              </a:rPr>
              <a:t>GRUP</a:t>
            </a:r>
            <a:r>
              <a:rPr lang="en-US" baseline="0">
                <a:solidFill>
                  <a:schemeClr val="tx1"/>
                </a:solidFill>
                <a:latin typeface="Montserrat Black" pitchFamily="2" charset="0"/>
              </a:rPr>
              <a:t> TOTALAN</a:t>
            </a:r>
            <a:endParaRPr lang="en-US">
              <a:solidFill>
                <a:schemeClr val="tx1"/>
              </a:solidFill>
              <a:latin typeface="Montserrat Black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DESEMBER!$B$71:$B$75</c:f>
              <c:strCache>
                <c:ptCount val="5"/>
                <c:pt idx="0">
                  <c:v>PEMSUKAN</c:v>
                </c:pt>
                <c:pt idx="1">
                  <c:v>PENGELUARAN</c:v>
                </c:pt>
                <c:pt idx="2">
                  <c:v>SELISIH OMSET</c:v>
                </c:pt>
                <c:pt idx="3">
                  <c:v>LABURA</c:v>
                </c:pt>
                <c:pt idx="4">
                  <c:v>BELANJA KE BEN</c:v>
                </c:pt>
              </c:strCache>
            </c:strRef>
          </c:cat>
          <c:val>
            <c:numRef>
              <c:f>DESEMBER!$C$71:$C$75</c:f>
              <c:numCache>
                <c:formatCode>_-"Rp"* #,##0.000_-;\-"Rp"* #,##0.000_-;_-"Rp"* "-"_-;_-@_-</c:formatCode>
                <c:ptCount val="5"/>
                <c:pt idx="0">
                  <c:v>65250</c:v>
                </c:pt>
                <c:pt idx="1">
                  <c:v>2634</c:v>
                </c:pt>
                <c:pt idx="2">
                  <c:v>16520</c:v>
                </c:pt>
                <c:pt idx="3">
                  <c:v>13097</c:v>
                </c:pt>
                <c:pt idx="4">
                  <c:v>65700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3-4D71-9DAB-BEC560396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719392"/>
        <c:axId val="1885719808"/>
        <c:axId val="0"/>
      </c:bar3DChart>
      <c:catAx>
        <c:axId val="188571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Montserrat Black" pitchFamily="2" charset="0"/>
                <a:ea typeface="+mn-ea"/>
                <a:cs typeface="+mn-cs"/>
              </a:defRPr>
            </a:pPr>
            <a:endParaRPr lang="en-US"/>
          </a:p>
        </c:txPr>
        <c:crossAx val="1885719808"/>
        <c:crosses val="autoZero"/>
        <c:auto val="1"/>
        <c:lblAlgn val="ctr"/>
        <c:lblOffset val="100"/>
        <c:noMultiLvlLbl val="0"/>
      </c:catAx>
      <c:valAx>
        <c:axId val="18857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.000_-;\-&quot;Rp&quot;* #,##0.000_-;_-&quot;Rp&quot;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69</xdr:row>
      <xdr:rowOff>0</xdr:rowOff>
    </xdr:from>
    <xdr:to>
      <xdr:col>7</xdr:col>
      <xdr:colOff>1476375</xdr:colOff>
      <xdr:row>78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2:AH83"/>
  <sheetViews>
    <sheetView topLeftCell="A2" zoomScaleNormal="100" workbookViewId="0">
      <pane xSplit="2" ySplit="3" topLeftCell="AB17" activePane="bottomRight" state="frozen"/>
      <selection activeCell="A2" sqref="A2"/>
      <selection pane="topRight" activeCell="C2" sqref="C2"/>
      <selection pane="bottomLeft" activeCell="A5" sqref="A5"/>
      <selection pane="bottomRight" activeCell="C58" sqref="A1:XFD1048576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447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115"/>
      <c r="C4" s="27">
        <v>46023</v>
      </c>
      <c r="D4" s="27">
        <v>46024</v>
      </c>
      <c r="E4" s="27">
        <v>46025</v>
      </c>
      <c r="F4" s="27">
        <v>46026</v>
      </c>
      <c r="G4" s="27">
        <v>46027</v>
      </c>
      <c r="H4" s="27">
        <v>46028</v>
      </c>
      <c r="I4" s="27">
        <v>46029</v>
      </c>
      <c r="J4" s="27">
        <v>46030</v>
      </c>
      <c r="K4" s="27">
        <v>46031</v>
      </c>
      <c r="L4" s="27">
        <v>46032</v>
      </c>
      <c r="M4" s="27">
        <v>46033</v>
      </c>
      <c r="N4" s="27">
        <v>46034</v>
      </c>
      <c r="O4" s="27">
        <v>46035</v>
      </c>
      <c r="P4" s="27">
        <v>46036</v>
      </c>
      <c r="Q4" s="27">
        <v>46037</v>
      </c>
      <c r="R4" s="27">
        <v>46038</v>
      </c>
      <c r="S4" s="27">
        <v>46039</v>
      </c>
      <c r="T4" s="27">
        <v>46040</v>
      </c>
      <c r="U4" s="27">
        <v>46041</v>
      </c>
      <c r="V4" s="27">
        <v>46042</v>
      </c>
      <c r="W4" s="27">
        <v>46043</v>
      </c>
      <c r="X4" s="27">
        <v>46044</v>
      </c>
      <c r="Y4" s="27">
        <v>46045</v>
      </c>
      <c r="Z4" s="27">
        <v>46046</v>
      </c>
      <c r="AA4" s="27">
        <v>46047</v>
      </c>
      <c r="AB4" s="27">
        <v>46048</v>
      </c>
      <c r="AC4" s="27">
        <v>46049</v>
      </c>
      <c r="AD4" s="27">
        <v>46050</v>
      </c>
      <c r="AE4" s="27">
        <v>46051</v>
      </c>
      <c r="AF4" s="27">
        <v>46052</v>
      </c>
      <c r="AG4" s="27">
        <v>46053</v>
      </c>
      <c r="AH4" s="26"/>
    </row>
    <row r="5" spans="1:34" ht="21.75" thickBot="1" x14ac:dyDescent="0.55000000000000004">
      <c r="B5" s="58" t="s">
        <v>0</v>
      </c>
      <c r="C5" s="28"/>
      <c r="D5" s="28"/>
      <c r="E5" s="28"/>
      <c r="F5" s="28">
        <f t="shared" ref="F5:AG5" si="0">F15</f>
        <v>0</v>
      </c>
      <c r="G5" s="28">
        <f t="shared" si="0"/>
        <v>0</v>
      </c>
      <c r="H5" s="28">
        <f>H15</f>
        <v>0</v>
      </c>
      <c r="I5" s="28">
        <f t="shared" ref="I5:J5" si="1">I15</f>
        <v>0</v>
      </c>
      <c r="J5" s="28">
        <f t="shared" si="1"/>
        <v>0</v>
      </c>
      <c r="K5" s="28">
        <f t="shared" si="0"/>
        <v>0</v>
      </c>
      <c r="L5" s="28">
        <f t="shared" si="0"/>
        <v>0</v>
      </c>
      <c r="M5" s="28">
        <f t="shared" si="0"/>
        <v>0</v>
      </c>
      <c r="N5" s="28">
        <f t="shared" si="0"/>
        <v>0</v>
      </c>
      <c r="O5" s="28">
        <f t="shared" si="0"/>
        <v>0</v>
      </c>
      <c r="P5" s="28">
        <f t="shared" si="0"/>
        <v>360</v>
      </c>
      <c r="Q5" s="28">
        <f t="shared" si="0"/>
        <v>20556</v>
      </c>
      <c r="R5" s="28">
        <f t="shared" si="0"/>
        <v>0</v>
      </c>
      <c r="S5" s="28">
        <f t="shared" si="0"/>
        <v>0</v>
      </c>
      <c r="T5" s="28">
        <f t="shared" si="0"/>
        <v>0</v>
      </c>
      <c r="U5" s="28">
        <f t="shared" si="0"/>
        <v>0</v>
      </c>
      <c r="V5" s="28">
        <f t="shared" si="0"/>
        <v>0</v>
      </c>
      <c r="W5" s="28">
        <f t="shared" si="0"/>
        <v>0</v>
      </c>
      <c r="X5" s="28">
        <f t="shared" si="0"/>
        <v>0</v>
      </c>
      <c r="Y5" s="28">
        <f t="shared" si="0"/>
        <v>0</v>
      </c>
      <c r="Z5" s="28">
        <f t="shared" si="0"/>
        <v>0</v>
      </c>
      <c r="AA5" s="28">
        <f t="shared" si="0"/>
        <v>0</v>
      </c>
      <c r="AB5" s="28">
        <f t="shared" si="0"/>
        <v>3989</v>
      </c>
      <c r="AC5" s="28">
        <f t="shared" si="0"/>
        <v>2765</v>
      </c>
      <c r="AD5" s="28">
        <f t="shared" si="0"/>
        <v>3361</v>
      </c>
      <c r="AE5" s="28">
        <f t="shared" si="0"/>
        <v>1308</v>
      </c>
      <c r="AF5" s="28">
        <f t="shared" si="0"/>
        <v>3861</v>
      </c>
      <c r="AG5" s="28">
        <f t="shared" si="0"/>
        <v>790</v>
      </c>
      <c r="AH5" s="29">
        <f>SUM(C5:AG5)</f>
        <v>36990</v>
      </c>
    </row>
    <row r="6" spans="1:34" x14ac:dyDescent="0.5">
      <c r="B6" s="122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 t="s">
        <v>405</v>
      </c>
      <c r="Q6" s="83" t="s">
        <v>448</v>
      </c>
      <c r="R6" s="83"/>
      <c r="S6" s="83"/>
      <c r="T6" s="83"/>
      <c r="U6" s="83"/>
      <c r="V6" s="83"/>
      <c r="W6" s="83"/>
      <c r="X6" s="83"/>
      <c r="Y6" s="83"/>
      <c r="Z6" s="83"/>
      <c r="AA6" s="83"/>
      <c r="AB6" s="83" t="s">
        <v>453</v>
      </c>
      <c r="AC6" s="83" t="s">
        <v>457</v>
      </c>
      <c r="AD6" s="83" t="s">
        <v>461</v>
      </c>
      <c r="AE6" s="83" t="s">
        <v>466</v>
      </c>
      <c r="AF6" s="83" t="s">
        <v>474</v>
      </c>
      <c r="AG6" s="83" t="s">
        <v>477</v>
      </c>
      <c r="AH6" s="123"/>
    </row>
    <row r="7" spans="1:34" x14ac:dyDescent="0.5">
      <c r="B7" s="122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 t="s">
        <v>449</v>
      </c>
      <c r="R7" s="84"/>
      <c r="S7" s="84"/>
      <c r="T7" s="84"/>
      <c r="U7" s="84"/>
      <c r="V7" s="84"/>
      <c r="W7" s="84"/>
      <c r="X7" s="84"/>
      <c r="Y7" s="84"/>
      <c r="Z7" s="84"/>
      <c r="AA7" s="84"/>
      <c r="AB7" s="84" t="s">
        <v>454</v>
      </c>
      <c r="AC7" s="84" t="s">
        <v>458</v>
      </c>
      <c r="AD7" s="84" t="s">
        <v>462</v>
      </c>
      <c r="AE7" s="84" t="s">
        <v>467</v>
      </c>
      <c r="AF7" s="84" t="s">
        <v>475</v>
      </c>
      <c r="AG7" s="84" t="s">
        <v>478</v>
      </c>
      <c r="AH7" s="123"/>
    </row>
    <row r="8" spans="1:34" x14ac:dyDescent="0.5">
      <c r="B8" s="122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 t="s">
        <v>450</v>
      </c>
      <c r="R8" s="84"/>
      <c r="S8" s="84"/>
      <c r="T8" s="84"/>
      <c r="U8" s="84"/>
      <c r="V8" s="84"/>
      <c r="W8" s="84"/>
      <c r="X8" s="84"/>
      <c r="Y8" s="84"/>
      <c r="Z8" s="84"/>
      <c r="AA8" s="84"/>
      <c r="AB8" s="84" t="s">
        <v>455</v>
      </c>
      <c r="AC8" s="84" t="s">
        <v>459</v>
      </c>
      <c r="AD8" s="84" t="s">
        <v>463</v>
      </c>
      <c r="AE8" s="84" t="s">
        <v>468</v>
      </c>
      <c r="AF8" s="84" t="s">
        <v>476</v>
      </c>
      <c r="AG8" s="84" t="s">
        <v>479</v>
      </c>
      <c r="AH8" s="123"/>
    </row>
    <row r="9" spans="1:34" x14ac:dyDescent="0.5">
      <c r="B9" s="122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 t="s">
        <v>451</v>
      </c>
      <c r="R9" s="84"/>
      <c r="S9" s="84"/>
      <c r="T9" s="84"/>
      <c r="U9" s="84"/>
      <c r="V9" s="84"/>
      <c r="W9" s="84"/>
      <c r="X9" s="84"/>
      <c r="Y9" s="84"/>
      <c r="Z9" s="84"/>
      <c r="AA9" s="84"/>
      <c r="AB9" s="84" t="s">
        <v>456</v>
      </c>
      <c r="AC9" s="84" t="s">
        <v>460</v>
      </c>
      <c r="AD9" s="84" t="s">
        <v>108</v>
      </c>
      <c r="AE9" s="84" t="s">
        <v>469</v>
      </c>
      <c r="AF9" s="84"/>
      <c r="AG9" s="84" t="s">
        <v>480</v>
      </c>
      <c r="AH9" s="123"/>
    </row>
    <row r="10" spans="1:34" x14ac:dyDescent="0.5">
      <c r="B10" s="122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 t="s">
        <v>452</v>
      </c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 t="s">
        <v>464</v>
      </c>
      <c r="AE10" s="84" t="s">
        <v>470</v>
      </c>
      <c r="AF10" s="84"/>
      <c r="AG10" s="84" t="s">
        <v>481</v>
      </c>
      <c r="AH10" s="123"/>
    </row>
    <row r="11" spans="1:34" x14ac:dyDescent="0.5">
      <c r="B11" s="122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 t="s">
        <v>465</v>
      </c>
      <c r="AE11" s="84" t="s">
        <v>471</v>
      </c>
      <c r="AF11" s="84" t="s">
        <v>473</v>
      </c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 t="s">
        <v>472</v>
      </c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/>
      <c r="D15" s="31"/>
      <c r="E15" s="31"/>
      <c r="F15" s="31">
        <f t="shared" ref="F15:AF15" si="2">SUM(F16:F22)</f>
        <v>0</v>
      </c>
      <c r="G15" s="31">
        <f t="shared" si="2"/>
        <v>0</v>
      </c>
      <c r="H15" s="31">
        <f>SUM(H16:H22)</f>
        <v>0</v>
      </c>
      <c r="I15" s="31">
        <f t="shared" ref="I15:J15" si="3">SUM(I16:I22)</f>
        <v>0</v>
      </c>
      <c r="J15" s="31">
        <f t="shared" si="3"/>
        <v>0</v>
      </c>
      <c r="K15" s="31">
        <f t="shared" si="2"/>
        <v>0</v>
      </c>
      <c r="L15" s="31">
        <f t="shared" si="2"/>
        <v>0</v>
      </c>
      <c r="M15" s="31">
        <f t="shared" si="2"/>
        <v>0</v>
      </c>
      <c r="N15" s="31">
        <f t="shared" si="2"/>
        <v>0</v>
      </c>
      <c r="O15" s="31">
        <f t="shared" si="2"/>
        <v>0</v>
      </c>
      <c r="P15" s="31">
        <f t="shared" si="2"/>
        <v>360</v>
      </c>
      <c r="Q15" s="31">
        <f t="shared" si="2"/>
        <v>20556</v>
      </c>
      <c r="R15" s="31">
        <f t="shared" si="2"/>
        <v>0</v>
      </c>
      <c r="S15" s="31">
        <f t="shared" si="2"/>
        <v>0</v>
      </c>
      <c r="T15" s="31">
        <f t="shared" si="2"/>
        <v>0</v>
      </c>
      <c r="U15" s="31">
        <f t="shared" si="2"/>
        <v>0</v>
      </c>
      <c r="V15" s="31">
        <f t="shared" si="2"/>
        <v>0</v>
      </c>
      <c r="W15" s="31">
        <f t="shared" si="2"/>
        <v>0</v>
      </c>
      <c r="X15" s="31">
        <f t="shared" si="2"/>
        <v>0</v>
      </c>
      <c r="Y15" s="31">
        <f t="shared" si="2"/>
        <v>0</v>
      </c>
      <c r="Z15" s="31">
        <f t="shared" si="2"/>
        <v>0</v>
      </c>
      <c r="AA15" s="31">
        <f t="shared" si="2"/>
        <v>0</v>
      </c>
      <c r="AB15" s="31">
        <f t="shared" si="2"/>
        <v>3989</v>
      </c>
      <c r="AC15" s="31">
        <f t="shared" si="2"/>
        <v>2765</v>
      </c>
      <c r="AD15" s="31">
        <f t="shared" si="2"/>
        <v>3361</v>
      </c>
      <c r="AE15" s="31">
        <f t="shared" si="2"/>
        <v>1308</v>
      </c>
      <c r="AF15" s="31">
        <f t="shared" si="2"/>
        <v>3861</v>
      </c>
      <c r="AG15" s="31">
        <v>790</v>
      </c>
      <c r="AH15" s="32">
        <f>SUM(C15:AG15)</f>
        <v>36990</v>
      </c>
    </row>
    <row r="16" spans="1:34" ht="18.75" hidden="1" customHeight="1" x14ac:dyDescent="0.5">
      <c r="B16" s="60" t="s">
        <v>18</v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>
        <v>360</v>
      </c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>
        <v>2109</v>
      </c>
      <c r="AC16" s="30"/>
      <c r="AD16" s="30">
        <v>3000</v>
      </c>
      <c r="AE16" s="30">
        <v>212</v>
      </c>
      <c r="AF16" s="30"/>
      <c r="AG16" s="30"/>
      <c r="AH16" s="10"/>
    </row>
    <row r="17" spans="2:34" ht="18.75" hidden="1" customHeight="1" x14ac:dyDescent="0.5">
      <c r="B17" s="61" t="s">
        <v>19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>
        <v>2405</v>
      </c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>
        <v>595</v>
      </c>
      <c r="AD17" s="22"/>
      <c r="AE17" s="22">
        <v>234</v>
      </c>
      <c r="AF17" s="22"/>
      <c r="AG17" s="22"/>
      <c r="AH17" s="10"/>
    </row>
    <row r="18" spans="2:34" ht="18.75" hidden="1" customHeight="1" x14ac:dyDescent="0.5">
      <c r="B18" s="61" t="s">
        <v>20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>
        <v>18151</v>
      </c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>
        <v>540</v>
      </c>
      <c r="AC18" s="22">
        <v>2170</v>
      </c>
      <c r="AD18" s="22">
        <v>261</v>
      </c>
      <c r="AE18" s="22">
        <v>712</v>
      </c>
      <c r="AF18" s="22">
        <v>3861</v>
      </c>
      <c r="AG18" s="22">
        <v>458</v>
      </c>
      <c r="AH18" s="10"/>
    </row>
    <row r="19" spans="2:34" ht="18.75" hidden="1" customHeight="1" x14ac:dyDescent="0.5">
      <c r="B19" s="61" t="s">
        <v>21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10"/>
    </row>
    <row r="20" spans="2:34" ht="18.75" hidden="1" customHeight="1" x14ac:dyDescent="0.5">
      <c r="B20" s="61" t="s">
        <v>22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>
        <v>20</v>
      </c>
      <c r="AE20" s="22"/>
      <c r="AF20" s="22"/>
      <c r="AG20" s="22">
        <v>100</v>
      </c>
      <c r="AH20" s="10"/>
    </row>
    <row r="21" spans="2:34" ht="18.75" hidden="1" customHeight="1" x14ac:dyDescent="0.5">
      <c r="B21" s="61" t="s">
        <v>32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>
        <v>1340</v>
      </c>
      <c r="AC21" s="22"/>
      <c r="AD21" s="22">
        <v>80</v>
      </c>
      <c r="AE21" s="22">
        <v>150</v>
      </c>
      <c r="AF21" s="22"/>
      <c r="AG21" s="22">
        <v>135</v>
      </c>
      <c r="AH21" s="10"/>
    </row>
    <row r="22" spans="2:34" ht="19.5" hidden="1" customHeight="1" thickBot="1" x14ac:dyDescent="0.55000000000000004">
      <c r="B22" s="62" t="s">
        <v>33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>
        <v>62</v>
      </c>
      <c r="AH22" s="34"/>
    </row>
    <row r="23" spans="2:34" ht="21.75" thickBot="1" x14ac:dyDescent="0.55000000000000004">
      <c r="B23" s="63" t="s">
        <v>2</v>
      </c>
      <c r="C23" s="37"/>
      <c r="D23" s="37"/>
      <c r="E23" s="37"/>
      <c r="F23" s="37">
        <f t="shared" ref="F23:AG23" si="4">SUM(F24:F36)</f>
        <v>0</v>
      </c>
      <c r="G23" s="37">
        <f t="shared" si="4"/>
        <v>0</v>
      </c>
      <c r="H23" s="37">
        <f>SUM(H24:H36)</f>
        <v>0</v>
      </c>
      <c r="I23" s="37">
        <f t="shared" ref="I23:J23" si="5">SUM(I24:I36)</f>
        <v>0</v>
      </c>
      <c r="J23" s="37">
        <f t="shared" si="5"/>
        <v>0</v>
      </c>
      <c r="K23" s="37">
        <f t="shared" si="4"/>
        <v>0</v>
      </c>
      <c r="L23" s="37">
        <f t="shared" si="4"/>
        <v>0</v>
      </c>
      <c r="M23" s="37">
        <f t="shared" si="4"/>
        <v>0</v>
      </c>
      <c r="N23" s="37">
        <f t="shared" si="4"/>
        <v>0</v>
      </c>
      <c r="O23" s="37">
        <f t="shared" si="4"/>
        <v>0</v>
      </c>
      <c r="P23" s="37">
        <f t="shared" si="4"/>
        <v>107</v>
      </c>
      <c r="Q23" s="37">
        <f t="shared" si="4"/>
        <v>210</v>
      </c>
      <c r="R23" s="37">
        <f t="shared" si="4"/>
        <v>0</v>
      </c>
      <c r="S23" s="37">
        <f t="shared" si="4"/>
        <v>0</v>
      </c>
      <c r="T23" s="37">
        <f t="shared" si="4"/>
        <v>0</v>
      </c>
      <c r="U23" s="37">
        <f t="shared" si="4"/>
        <v>0</v>
      </c>
      <c r="V23" s="37">
        <f t="shared" si="4"/>
        <v>0</v>
      </c>
      <c r="W23" s="37">
        <f t="shared" si="4"/>
        <v>0</v>
      </c>
      <c r="X23" s="37">
        <f t="shared" si="4"/>
        <v>0</v>
      </c>
      <c r="Y23" s="37">
        <f t="shared" si="4"/>
        <v>0</v>
      </c>
      <c r="Z23" s="37">
        <f t="shared" si="4"/>
        <v>0</v>
      </c>
      <c r="AA23" s="37">
        <f t="shared" si="4"/>
        <v>0</v>
      </c>
      <c r="AB23" s="37">
        <f t="shared" si="4"/>
        <v>25</v>
      </c>
      <c r="AC23" s="37">
        <f t="shared" si="4"/>
        <v>33</v>
      </c>
      <c r="AD23" s="37">
        <f t="shared" si="4"/>
        <v>80</v>
      </c>
      <c r="AE23" s="37">
        <f t="shared" si="4"/>
        <v>13</v>
      </c>
      <c r="AF23" s="37">
        <f t="shared" si="4"/>
        <v>62</v>
      </c>
      <c r="AG23" s="37">
        <f t="shared" si="4"/>
        <v>82</v>
      </c>
      <c r="AH23" s="38">
        <f>SUM(C23:AG23)</f>
        <v>612</v>
      </c>
    </row>
    <row r="24" spans="2:34" x14ac:dyDescent="0.5">
      <c r="B24" s="35" t="s">
        <v>24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v>5</v>
      </c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>
        <v>5</v>
      </c>
      <c r="AC24" s="36"/>
      <c r="AD24" s="36"/>
      <c r="AE24" s="36">
        <v>6</v>
      </c>
      <c r="AF24" s="36"/>
      <c r="AG24" s="36"/>
      <c r="AH24" s="6"/>
    </row>
    <row r="25" spans="2:34" x14ac:dyDescent="0.5">
      <c r="B25" s="11" t="s">
        <v>25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>
        <v>50</v>
      </c>
      <c r="AE25" s="8"/>
      <c r="AF25" s="8"/>
      <c r="AG25" s="8">
        <v>50</v>
      </c>
      <c r="AH25" s="6"/>
    </row>
    <row r="26" spans="2:34" x14ac:dyDescent="0.5">
      <c r="B26" s="11" t="s">
        <v>26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>
        <v>30</v>
      </c>
      <c r="AE26" s="8"/>
      <c r="AF26" s="8">
        <v>45</v>
      </c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>
        <v>160</v>
      </c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>
        <v>40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>
        <v>7</v>
      </c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>
        <v>17</v>
      </c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>
        <v>13</v>
      </c>
      <c r="AD34" s="8"/>
      <c r="AE34" s="8"/>
      <c r="AF34" s="8"/>
      <c r="AG34" s="8"/>
      <c r="AH34" s="6"/>
    </row>
    <row r="35" spans="2:34" x14ac:dyDescent="0.5">
      <c r="B35" s="11" t="s">
        <v>48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>
        <v>62</v>
      </c>
      <c r="Q35" s="8">
        <v>50</v>
      </c>
      <c r="R35" s="8"/>
      <c r="S35" s="8"/>
      <c r="T35" s="8"/>
      <c r="U35" s="8"/>
      <c r="V35" s="8"/>
      <c r="W35" s="8"/>
      <c r="X35" s="8"/>
      <c r="Y35" s="8"/>
      <c r="Z35" s="8"/>
      <c r="AA35" s="8"/>
      <c r="AB35" s="8">
        <v>20</v>
      </c>
      <c r="AC35" s="8">
        <v>20</v>
      </c>
      <c r="AD35" s="8"/>
      <c r="AE35" s="8"/>
      <c r="AF35" s="8"/>
      <c r="AG35" s="8">
        <v>32</v>
      </c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/>
      <c r="D37" s="103"/>
      <c r="E37" s="103"/>
      <c r="F37" s="103"/>
      <c r="G37" s="103"/>
      <c r="H37" s="44"/>
      <c r="I37" s="103"/>
      <c r="J37" s="103"/>
      <c r="K37" s="103"/>
      <c r="L37" s="103"/>
      <c r="M37" s="103"/>
      <c r="N37" s="103"/>
      <c r="O37" s="103"/>
      <c r="P37" s="103">
        <v>2201</v>
      </c>
      <c r="Q37" s="103">
        <v>2775</v>
      </c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>
        <v>3801</v>
      </c>
      <c r="AD37" s="103">
        <v>1878</v>
      </c>
      <c r="AE37" s="103">
        <v>342</v>
      </c>
      <c r="AF37" s="103">
        <v>1246</v>
      </c>
      <c r="AG37" s="103">
        <v>2599</v>
      </c>
      <c r="AH37" s="46">
        <f>SUM(C37:AG37)</f>
        <v>14842</v>
      </c>
    </row>
    <row r="38" spans="2:34" x14ac:dyDescent="0.5">
      <c r="B38" s="42" t="s">
        <v>3</v>
      </c>
      <c r="C38" s="43"/>
      <c r="D38" s="43"/>
      <c r="E38" s="43"/>
      <c r="F38" s="43"/>
      <c r="G38" s="43"/>
      <c r="H38" s="43"/>
      <c r="I38" s="43"/>
      <c r="J38" s="43"/>
      <c r="K38" s="95"/>
      <c r="L38" s="105"/>
      <c r="M38" s="104"/>
      <c r="N38" s="104"/>
      <c r="O38" s="105"/>
      <c r="P38" s="105">
        <v>1203</v>
      </c>
      <c r="Q38" s="105">
        <v>192</v>
      </c>
      <c r="R38" s="104"/>
      <c r="S38" s="105"/>
      <c r="T38" s="105"/>
      <c r="U38" s="104"/>
      <c r="V38" s="105"/>
      <c r="W38" s="105"/>
      <c r="X38" s="105"/>
      <c r="Y38" s="105"/>
      <c r="Z38" s="105"/>
      <c r="AA38" s="105"/>
      <c r="AB38" s="104"/>
      <c r="AC38" s="105">
        <v>44</v>
      </c>
      <c r="AD38" s="105"/>
      <c r="AE38" s="105"/>
      <c r="AF38" s="105">
        <v>35</v>
      </c>
      <c r="AG38" s="105">
        <v>0</v>
      </c>
      <c r="AH38" s="7"/>
    </row>
    <row r="39" spans="2:34" x14ac:dyDescent="0.5">
      <c r="B39" s="15" t="s">
        <v>10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>
        <v>167</v>
      </c>
      <c r="Q39" s="9">
        <v>23</v>
      </c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>
        <v>100</v>
      </c>
      <c r="AG39" s="9">
        <v>0</v>
      </c>
      <c r="AH39" s="14"/>
    </row>
    <row r="40" spans="2:34" x14ac:dyDescent="0.5">
      <c r="B40" s="15" t="s">
        <v>11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>
        <v>19</v>
      </c>
      <c r="Q40" s="9">
        <v>4</v>
      </c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>
        <v>1</v>
      </c>
      <c r="AD40" s="9"/>
      <c r="AE40" s="9"/>
      <c r="AF40" s="9">
        <v>0</v>
      </c>
      <c r="AG40" s="9">
        <v>0</v>
      </c>
      <c r="AH40" s="7"/>
    </row>
    <row r="41" spans="2:34" x14ac:dyDescent="0.5">
      <c r="B41" s="16" t="s">
        <v>5</v>
      </c>
      <c r="C41" s="97"/>
      <c r="D41" s="97"/>
      <c r="E41" s="97"/>
      <c r="F41" s="97">
        <f t="shared" ref="F41:AG41" si="6">SUM(F37-F38)</f>
        <v>0</v>
      </c>
      <c r="G41" s="97">
        <f t="shared" si="6"/>
        <v>0</v>
      </c>
      <c r="H41" s="97">
        <f>SUM(H37-H38)</f>
        <v>0</v>
      </c>
      <c r="I41" s="97">
        <f t="shared" ref="I41:J41" si="7">SUM(I37-I38)</f>
        <v>0</v>
      </c>
      <c r="J41" s="97">
        <f t="shared" si="7"/>
        <v>0</v>
      </c>
      <c r="K41" s="97">
        <f t="shared" si="6"/>
        <v>0</v>
      </c>
      <c r="L41" s="97">
        <f t="shared" si="6"/>
        <v>0</v>
      </c>
      <c r="M41" s="97">
        <f t="shared" si="6"/>
        <v>0</v>
      </c>
      <c r="N41" s="97">
        <f t="shared" si="6"/>
        <v>0</v>
      </c>
      <c r="O41" s="97">
        <f t="shared" si="6"/>
        <v>0</v>
      </c>
      <c r="P41" s="97">
        <f t="shared" si="6"/>
        <v>998</v>
      </c>
      <c r="Q41" s="97">
        <f t="shared" si="6"/>
        <v>2583</v>
      </c>
      <c r="R41" s="97">
        <f t="shared" si="6"/>
        <v>0</v>
      </c>
      <c r="S41" s="97">
        <f t="shared" si="6"/>
        <v>0</v>
      </c>
      <c r="T41" s="97">
        <f t="shared" si="6"/>
        <v>0</v>
      </c>
      <c r="U41" s="97">
        <f t="shared" si="6"/>
        <v>0</v>
      </c>
      <c r="V41" s="97">
        <f t="shared" si="6"/>
        <v>0</v>
      </c>
      <c r="W41" s="97">
        <f t="shared" si="6"/>
        <v>0</v>
      </c>
      <c r="X41" s="97">
        <f t="shared" si="6"/>
        <v>0</v>
      </c>
      <c r="Y41" s="97">
        <f t="shared" si="6"/>
        <v>0</v>
      </c>
      <c r="Z41" s="97">
        <f t="shared" si="6"/>
        <v>0</v>
      </c>
      <c r="AA41" s="97">
        <f t="shared" si="6"/>
        <v>0</v>
      </c>
      <c r="AB41" s="97">
        <f t="shared" si="6"/>
        <v>0</v>
      </c>
      <c r="AC41" s="97">
        <f t="shared" si="6"/>
        <v>3757</v>
      </c>
      <c r="AD41" s="97">
        <f t="shared" si="6"/>
        <v>1878</v>
      </c>
      <c r="AE41" s="97">
        <f t="shared" si="6"/>
        <v>342</v>
      </c>
      <c r="AF41" s="97">
        <f t="shared" si="6"/>
        <v>1211</v>
      </c>
      <c r="AG41" s="97">
        <f t="shared" si="6"/>
        <v>2599</v>
      </c>
      <c r="AH41" s="13">
        <f>SUM(C41:AG41)</f>
        <v>13368</v>
      </c>
    </row>
    <row r="42" spans="2:34" x14ac:dyDescent="0.5">
      <c r="B42" s="16" t="s">
        <v>8</v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>
        <v>0</v>
      </c>
      <c r="Q42" s="5">
        <v>295</v>
      </c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92"/>
      <c r="AD42" s="5">
        <v>20</v>
      </c>
      <c r="AE42" s="5">
        <v>106</v>
      </c>
      <c r="AF42" s="5">
        <v>167</v>
      </c>
      <c r="AG42" s="92">
        <v>2599</v>
      </c>
      <c r="AH42" s="12"/>
    </row>
    <row r="43" spans="2:34" ht="18" customHeight="1" thickBot="1" x14ac:dyDescent="0.55000000000000004">
      <c r="B43" s="47" t="s">
        <v>7</v>
      </c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>
        <v>12</v>
      </c>
      <c r="Q43" s="48">
        <v>63</v>
      </c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93"/>
      <c r="AC43" s="48"/>
      <c r="AD43" s="48">
        <v>39</v>
      </c>
      <c r="AE43" s="48">
        <v>5</v>
      </c>
      <c r="AF43" s="48">
        <v>24</v>
      </c>
      <c r="AG43" s="48">
        <v>54</v>
      </c>
      <c r="AH43" s="96"/>
    </row>
    <row r="44" spans="2:34" ht="21.75" thickBot="1" x14ac:dyDescent="0.55000000000000004">
      <c r="B44" s="65" t="s">
        <v>9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>
        <v>800</v>
      </c>
      <c r="Q44" s="49">
        <v>0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>
        <v>368</v>
      </c>
      <c r="AE44" s="49"/>
      <c r="AF44" s="49">
        <v>200</v>
      </c>
      <c r="AG44" s="49">
        <v>300</v>
      </c>
      <c r="AH44" s="50"/>
    </row>
    <row r="45" spans="2:34" ht="21.75" thickBot="1" x14ac:dyDescent="0.55000000000000004">
      <c r="B45" s="66" t="s">
        <v>14</v>
      </c>
      <c r="C45" s="51"/>
      <c r="D45" s="51"/>
      <c r="E45" s="51"/>
      <c r="F45" s="51"/>
      <c r="G45" s="51"/>
      <c r="H45" s="51">
        <f>SUM(H44,H42,H39)</f>
        <v>0</v>
      </c>
      <c r="I45" s="51">
        <f t="shared" ref="I45:J45" si="8">SUM(I44,I42,I39)</f>
        <v>0</v>
      </c>
      <c r="J45" s="51">
        <f t="shared" si="8"/>
        <v>0</v>
      </c>
      <c r="K45" s="51">
        <f>K44+K42+K39</f>
        <v>0</v>
      </c>
      <c r="L45" s="51">
        <f>L44+L42+L39</f>
        <v>0</v>
      </c>
      <c r="M45" s="51">
        <f t="shared" ref="M45:AG45" si="9">M44+M42+M39</f>
        <v>0</v>
      </c>
      <c r="N45" s="51">
        <f t="shared" si="9"/>
        <v>0</v>
      </c>
      <c r="O45" s="51">
        <f t="shared" si="9"/>
        <v>0</v>
      </c>
      <c r="P45" s="51">
        <f t="shared" si="9"/>
        <v>967</v>
      </c>
      <c r="Q45" s="51">
        <f t="shared" si="9"/>
        <v>318</v>
      </c>
      <c r="R45" s="51">
        <f t="shared" si="9"/>
        <v>0</v>
      </c>
      <c r="S45" s="51">
        <f t="shared" si="9"/>
        <v>0</v>
      </c>
      <c r="T45" s="51">
        <f t="shared" si="9"/>
        <v>0</v>
      </c>
      <c r="U45" s="51">
        <f t="shared" si="9"/>
        <v>0</v>
      </c>
      <c r="V45" s="51">
        <f t="shared" si="9"/>
        <v>0</v>
      </c>
      <c r="W45" s="51">
        <f t="shared" si="9"/>
        <v>0</v>
      </c>
      <c r="X45" s="51">
        <f t="shared" si="9"/>
        <v>0</v>
      </c>
      <c r="Y45" s="51">
        <f t="shared" si="9"/>
        <v>0</v>
      </c>
      <c r="Z45" s="51">
        <f t="shared" si="9"/>
        <v>0</v>
      </c>
      <c r="AA45" s="51">
        <f t="shared" si="9"/>
        <v>0</v>
      </c>
      <c r="AB45" s="51">
        <f t="shared" si="9"/>
        <v>0</v>
      </c>
      <c r="AC45" s="51">
        <f t="shared" si="9"/>
        <v>0</v>
      </c>
      <c r="AD45" s="51">
        <f t="shared" si="9"/>
        <v>388</v>
      </c>
      <c r="AE45" s="51">
        <f t="shared" si="9"/>
        <v>106</v>
      </c>
      <c r="AF45" s="51">
        <f t="shared" si="9"/>
        <v>467</v>
      </c>
      <c r="AG45" s="51">
        <f t="shared" si="9"/>
        <v>2899</v>
      </c>
      <c r="AH45" s="52"/>
    </row>
    <row r="46" spans="2:34" ht="21.75" thickBot="1" x14ac:dyDescent="0.55000000000000004">
      <c r="B46" s="67" t="s">
        <v>6</v>
      </c>
      <c r="C46" s="98"/>
      <c r="D46" s="102"/>
      <c r="E46" s="102"/>
      <c r="F46" s="53"/>
      <c r="G46" s="53"/>
      <c r="H46" s="98"/>
      <c r="I46" s="102">
        <f>H46-I37</f>
        <v>0</v>
      </c>
      <c r="J46" s="102"/>
      <c r="K46" s="102"/>
      <c r="L46" s="102"/>
      <c r="M46" s="102"/>
      <c r="N46" s="53"/>
      <c r="O46" s="102">
        <f>M46-O37</f>
        <v>0</v>
      </c>
      <c r="P46" s="102">
        <f>7780-P37</f>
        <v>5579</v>
      </c>
      <c r="Q46" s="102">
        <f>P46-Q37</f>
        <v>2804</v>
      </c>
      <c r="R46" s="102">
        <f>Q46-R37</f>
        <v>2804</v>
      </c>
      <c r="S46" s="102">
        <f>R46-S37</f>
        <v>2804</v>
      </c>
      <c r="T46" s="102">
        <f>S46-T37</f>
        <v>2804</v>
      </c>
      <c r="U46" s="53"/>
      <c r="V46" s="79">
        <f>T46-V37</f>
        <v>2804</v>
      </c>
      <c r="W46" s="77">
        <f>32038-W37</f>
        <v>32038</v>
      </c>
      <c r="X46" s="77">
        <f>W46-X37</f>
        <v>32038</v>
      </c>
      <c r="Y46" s="77">
        <f>X46-Y37</f>
        <v>32038</v>
      </c>
      <c r="Z46" s="77">
        <f>Y46-Z37</f>
        <v>32038</v>
      </c>
      <c r="AA46" s="77">
        <f>Z46-AA37</f>
        <v>32038</v>
      </c>
      <c r="AB46" s="77"/>
      <c r="AC46" s="77">
        <f>20382-AC37</f>
        <v>16581</v>
      </c>
      <c r="AD46" s="77">
        <f>AC46-AD37</f>
        <v>14703</v>
      </c>
      <c r="AE46" s="77">
        <f t="shared" ref="AE46:AG46" si="10">AD46-AE37</f>
        <v>14361</v>
      </c>
      <c r="AF46" s="77">
        <f t="shared" si="10"/>
        <v>13115</v>
      </c>
      <c r="AG46" s="77">
        <f t="shared" si="10"/>
        <v>10516</v>
      </c>
      <c r="AH46" s="54"/>
    </row>
    <row r="47" spans="2:34" ht="21.75" thickBot="1" x14ac:dyDescent="0.55000000000000004">
      <c r="B47" s="23" t="s">
        <v>31</v>
      </c>
      <c r="C47" s="55"/>
      <c r="D47" s="55"/>
      <c r="E47" s="55"/>
      <c r="F47" s="55">
        <f t="shared" ref="F47:AG47" si="11">(F38+F81+F82+F83)-F37</f>
        <v>0</v>
      </c>
      <c r="G47" s="55">
        <f t="shared" si="11"/>
        <v>0</v>
      </c>
      <c r="H47" s="55">
        <f>(H38+H81+H82+H83)-H37</f>
        <v>0</v>
      </c>
      <c r="I47" s="55">
        <f t="shared" ref="I47" si="12">(I38+I81+I82+I83)-I37</f>
        <v>0</v>
      </c>
      <c r="J47" s="55">
        <f>(J38+J81+J82+J83)-J37</f>
        <v>0</v>
      </c>
      <c r="K47" s="55">
        <f t="shared" si="11"/>
        <v>0</v>
      </c>
      <c r="L47" s="55">
        <f t="shared" si="11"/>
        <v>0</v>
      </c>
      <c r="M47" s="55">
        <f t="shared" si="11"/>
        <v>0</v>
      </c>
      <c r="N47" s="55">
        <f t="shared" si="11"/>
        <v>0</v>
      </c>
      <c r="O47" s="55">
        <f t="shared" si="11"/>
        <v>0</v>
      </c>
      <c r="P47" s="55">
        <f t="shared" si="11"/>
        <v>390</v>
      </c>
      <c r="Q47" s="55">
        <f t="shared" si="11"/>
        <v>898</v>
      </c>
      <c r="R47" s="55">
        <f t="shared" si="11"/>
        <v>0</v>
      </c>
      <c r="S47" s="55">
        <f t="shared" si="11"/>
        <v>0</v>
      </c>
      <c r="T47" s="55">
        <f t="shared" si="11"/>
        <v>0</v>
      </c>
      <c r="U47" s="55">
        <f t="shared" si="11"/>
        <v>0</v>
      </c>
      <c r="V47" s="55">
        <f t="shared" si="11"/>
        <v>0</v>
      </c>
      <c r="W47" s="55">
        <f t="shared" si="11"/>
        <v>0</v>
      </c>
      <c r="X47" s="55">
        <f>(X38+X81+X82+X83)-X37</f>
        <v>0</v>
      </c>
      <c r="Y47" s="55">
        <f t="shared" si="11"/>
        <v>0</v>
      </c>
      <c r="Z47" s="55">
        <f t="shared" si="11"/>
        <v>0</v>
      </c>
      <c r="AA47" s="55"/>
      <c r="AB47" s="55"/>
      <c r="AC47" s="55">
        <f t="shared" si="11"/>
        <v>2007</v>
      </c>
      <c r="AD47" s="55">
        <f t="shared" si="11"/>
        <v>252</v>
      </c>
      <c r="AE47" s="55">
        <f t="shared" si="11"/>
        <v>304</v>
      </c>
      <c r="AF47" s="55">
        <f t="shared" si="11"/>
        <v>553</v>
      </c>
      <c r="AG47" s="55">
        <f t="shared" si="11"/>
        <v>1236</v>
      </c>
      <c r="AH47" s="56">
        <f>SUM(AB47:AG47)</f>
        <v>4352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2"/>
    </row>
    <row r="50" spans="2:34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/>
      <c r="X56" s="2"/>
      <c r="Y56" s="2"/>
      <c r="Z56" s="89"/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/>
    </row>
    <row r="59" spans="2:34" hidden="1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118"/>
    </row>
    <row r="60" spans="2:34" hidden="1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hidden="1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hidden="1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hidden="1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hidden="1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hidden="1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hidden="1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hidden="1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hidden="1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/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36990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612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5640</v>
      </c>
    </row>
    <row r="74" spans="2:34" ht="24" customHeight="1" x14ac:dyDescent="0.5">
      <c r="B74" s="19" t="s">
        <v>3</v>
      </c>
      <c r="C74" s="21">
        <f>SUM(C38:AG38)</f>
        <v>1474</v>
      </c>
    </row>
    <row r="75" spans="2:34" ht="24" customHeight="1" x14ac:dyDescent="0.5">
      <c r="B75" s="19" t="s">
        <v>4</v>
      </c>
      <c r="C75" s="21">
        <f>SUM(C37:AG37)</f>
        <v>14842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68</v>
      </c>
      <c r="Q81" s="100">
        <v>70</v>
      </c>
      <c r="R81" s="100"/>
      <c r="S81" s="100"/>
      <c r="T81" s="100"/>
      <c r="U81" s="100"/>
      <c r="V81" s="100"/>
      <c r="W81" s="101"/>
      <c r="X81" s="100"/>
      <c r="Y81" s="100"/>
      <c r="Z81" s="100"/>
      <c r="AA81" s="100"/>
      <c r="AB81" s="100"/>
      <c r="AC81" s="100">
        <v>930</v>
      </c>
      <c r="AD81" s="100"/>
      <c r="AE81" s="100"/>
      <c r="AF81" s="100">
        <v>20</v>
      </c>
      <c r="AG81" s="100"/>
    </row>
    <row r="82" spans="2:33" x14ac:dyDescent="0.5">
      <c r="B82" s="19" t="s">
        <v>35</v>
      </c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>
        <v>60</v>
      </c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>
        <v>110</v>
      </c>
      <c r="AD82" s="100"/>
      <c r="AE82" s="100"/>
      <c r="AF82" s="100">
        <v>100</v>
      </c>
      <c r="AG82" s="100"/>
    </row>
    <row r="83" spans="2:33" x14ac:dyDescent="0.5">
      <c r="B83" s="90" t="s">
        <v>41</v>
      </c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>
        <v>1320</v>
      </c>
      <c r="Q83" s="99">
        <v>3351</v>
      </c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>
        <v>4724</v>
      </c>
      <c r="AD83" s="99">
        <v>2130</v>
      </c>
      <c r="AE83" s="99">
        <v>646</v>
      </c>
      <c r="AF83" s="99">
        <v>1644</v>
      </c>
      <c r="AG83" s="99">
        <v>3835</v>
      </c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2:AH83"/>
  <sheetViews>
    <sheetView topLeftCell="A2" zoomScaleNormal="100" workbookViewId="0">
      <pane xSplit="2" ySplit="3" topLeftCell="Z44" activePane="bottomRight" state="frozen"/>
      <selection activeCell="A2" sqref="A2"/>
      <selection pane="topRight" activeCell="C2" sqref="C2"/>
      <selection pane="bottomLeft" activeCell="A5" sqref="A5"/>
      <selection pane="bottomRight" activeCell="AD83" sqref="AD83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447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115"/>
      <c r="C4" s="27">
        <v>46023</v>
      </c>
      <c r="D4" s="27">
        <v>46024</v>
      </c>
      <c r="E4" s="27">
        <v>46025</v>
      </c>
      <c r="F4" s="27">
        <v>46026</v>
      </c>
      <c r="G4" s="27">
        <v>46027</v>
      </c>
      <c r="H4" s="27">
        <v>46028</v>
      </c>
      <c r="I4" s="27">
        <v>46029</v>
      </c>
      <c r="J4" s="27">
        <v>46030</v>
      </c>
      <c r="K4" s="27">
        <v>46031</v>
      </c>
      <c r="L4" s="27">
        <v>46032</v>
      </c>
      <c r="M4" s="27">
        <v>46033</v>
      </c>
      <c r="N4" s="27">
        <v>46034</v>
      </c>
      <c r="O4" s="27">
        <v>46035</v>
      </c>
      <c r="P4" s="27">
        <v>46036</v>
      </c>
      <c r="Q4" s="27">
        <v>46037</v>
      </c>
      <c r="R4" s="27">
        <v>46038</v>
      </c>
      <c r="S4" s="27">
        <v>46039</v>
      </c>
      <c r="T4" s="27">
        <v>46040</v>
      </c>
      <c r="U4" s="27">
        <v>46041</v>
      </c>
      <c r="V4" s="27">
        <v>46042</v>
      </c>
      <c r="W4" s="27">
        <v>46043</v>
      </c>
      <c r="X4" s="27">
        <v>46044</v>
      </c>
      <c r="Y4" s="27">
        <v>46045</v>
      </c>
      <c r="Z4" s="27">
        <v>46046</v>
      </c>
      <c r="AA4" s="27">
        <v>46047</v>
      </c>
      <c r="AB4" s="27">
        <v>46048</v>
      </c>
      <c r="AC4" s="27">
        <v>46049</v>
      </c>
      <c r="AD4" s="27">
        <v>46050</v>
      </c>
      <c r="AE4" s="27">
        <v>46051</v>
      </c>
      <c r="AF4" s="27">
        <v>46052</v>
      </c>
      <c r="AG4" s="27">
        <v>46053</v>
      </c>
      <c r="AH4" s="26"/>
    </row>
    <row r="5" spans="1:34" ht="21.75" thickBot="1" x14ac:dyDescent="0.55000000000000004">
      <c r="B5" s="58" t="s">
        <v>0</v>
      </c>
      <c r="C5" s="28">
        <f t="shared" ref="C5:F5" si="0">C15</f>
        <v>0</v>
      </c>
      <c r="D5" s="28">
        <f t="shared" si="0"/>
        <v>4175</v>
      </c>
      <c r="E5" s="28">
        <f t="shared" si="0"/>
        <v>389</v>
      </c>
      <c r="F5" s="28">
        <f t="shared" si="0"/>
        <v>1418</v>
      </c>
      <c r="G5" s="28">
        <f t="shared" ref="G5:AG5" si="1">G15</f>
        <v>921</v>
      </c>
      <c r="H5" s="28">
        <f>H15</f>
        <v>209</v>
      </c>
      <c r="I5" s="28">
        <f t="shared" ref="I5:J5" si="2">I15</f>
        <v>780</v>
      </c>
      <c r="J5" s="28">
        <f t="shared" si="2"/>
        <v>0</v>
      </c>
      <c r="K5" s="28">
        <f t="shared" si="1"/>
        <v>14743</v>
      </c>
      <c r="L5" s="28">
        <f t="shared" si="1"/>
        <v>0</v>
      </c>
      <c r="M5" s="28">
        <f t="shared" si="1"/>
        <v>0</v>
      </c>
      <c r="N5" s="28">
        <f t="shared" si="1"/>
        <v>0</v>
      </c>
      <c r="O5" s="28">
        <f t="shared" si="1"/>
        <v>2797</v>
      </c>
      <c r="P5" s="28">
        <f t="shared" si="1"/>
        <v>2246</v>
      </c>
      <c r="Q5" s="28">
        <f t="shared" si="1"/>
        <v>0</v>
      </c>
      <c r="R5" s="28">
        <f t="shared" si="1"/>
        <v>740</v>
      </c>
      <c r="S5" s="28">
        <f t="shared" si="1"/>
        <v>1266</v>
      </c>
      <c r="T5" s="28">
        <f t="shared" si="1"/>
        <v>90</v>
      </c>
      <c r="U5" s="28">
        <f t="shared" si="1"/>
        <v>1193</v>
      </c>
      <c r="V5" s="28">
        <f t="shared" si="1"/>
        <v>540</v>
      </c>
      <c r="W5" s="28">
        <f t="shared" si="1"/>
        <v>194</v>
      </c>
      <c r="X5" s="28">
        <f t="shared" si="1"/>
        <v>0</v>
      </c>
      <c r="Y5" s="28">
        <f t="shared" si="1"/>
        <v>5382</v>
      </c>
      <c r="Z5" s="28">
        <f t="shared" si="1"/>
        <v>1014</v>
      </c>
      <c r="AA5" s="28">
        <f t="shared" si="1"/>
        <v>1515</v>
      </c>
      <c r="AB5" s="28">
        <f t="shared" si="1"/>
        <v>2113</v>
      </c>
      <c r="AC5" s="28">
        <f t="shared" si="1"/>
        <v>0</v>
      </c>
      <c r="AD5" s="28">
        <f t="shared" si="1"/>
        <v>410</v>
      </c>
      <c r="AE5" s="28">
        <f t="shared" si="1"/>
        <v>0</v>
      </c>
      <c r="AF5" s="28">
        <f t="shared" si="1"/>
        <v>0</v>
      </c>
      <c r="AG5" s="28">
        <f t="shared" si="1"/>
        <v>0</v>
      </c>
      <c r="AH5" s="29">
        <f>SUM(C5:AG5)</f>
        <v>42135</v>
      </c>
    </row>
    <row r="6" spans="1:34" ht="21.75" thickBot="1" x14ac:dyDescent="0.55000000000000004">
      <c r="B6" s="122"/>
      <c r="C6" s="83"/>
      <c r="D6" s="83" t="s">
        <v>482</v>
      </c>
      <c r="E6" s="83" t="s">
        <v>483</v>
      </c>
      <c r="F6" s="83" t="s">
        <v>485</v>
      </c>
      <c r="G6" s="83" t="s">
        <v>489</v>
      </c>
      <c r="H6" s="83" t="s">
        <v>494</v>
      </c>
      <c r="I6" s="83" t="s">
        <v>496</v>
      </c>
      <c r="J6" s="83"/>
      <c r="K6" s="83" t="s">
        <v>499</v>
      </c>
      <c r="L6" s="83"/>
      <c r="M6" s="83"/>
      <c r="N6" s="83"/>
      <c r="O6" s="83" t="s">
        <v>505</v>
      </c>
      <c r="P6" s="83" t="s">
        <v>508</v>
      </c>
      <c r="Q6" s="83"/>
      <c r="R6" s="83" t="s">
        <v>513</v>
      </c>
      <c r="S6" s="83" t="s">
        <v>514</v>
      </c>
      <c r="T6" s="28"/>
      <c r="U6" s="83" t="s">
        <v>516</v>
      </c>
      <c r="V6" s="83" t="s">
        <v>518</v>
      </c>
      <c r="W6" s="83" t="s">
        <v>519</v>
      </c>
      <c r="X6" s="83"/>
      <c r="Y6" s="83" t="s">
        <v>378</v>
      </c>
      <c r="Z6" s="83" t="s">
        <v>524</v>
      </c>
      <c r="AA6" s="83" t="s">
        <v>401</v>
      </c>
      <c r="AB6" s="83" t="s">
        <v>405</v>
      </c>
      <c r="AC6" s="83"/>
      <c r="AD6" s="83" t="s">
        <v>378</v>
      </c>
      <c r="AE6" s="83"/>
      <c r="AF6" s="83"/>
      <c r="AG6" s="83"/>
      <c r="AH6" s="123"/>
    </row>
    <row r="7" spans="1:34" x14ac:dyDescent="0.5">
      <c r="B7" s="122"/>
      <c r="C7" s="84"/>
      <c r="D7" s="84" t="s">
        <v>392</v>
      </c>
      <c r="E7" s="84" t="s">
        <v>484</v>
      </c>
      <c r="F7" s="84" t="s">
        <v>486</v>
      </c>
      <c r="G7" s="84" t="s">
        <v>490</v>
      </c>
      <c r="H7" s="84" t="s">
        <v>495</v>
      </c>
      <c r="I7" s="84" t="s">
        <v>497</v>
      </c>
      <c r="J7" s="84"/>
      <c r="K7" s="84" t="s">
        <v>500</v>
      </c>
      <c r="L7" s="84"/>
      <c r="M7" s="84"/>
      <c r="N7" s="84"/>
      <c r="O7" s="84" t="s">
        <v>486</v>
      </c>
      <c r="P7" s="84" t="s">
        <v>509</v>
      </c>
      <c r="Q7" s="84"/>
      <c r="R7" s="84"/>
      <c r="S7" s="84" t="s">
        <v>401</v>
      </c>
      <c r="T7" s="84"/>
      <c r="U7" s="84" t="s">
        <v>517</v>
      </c>
      <c r="V7" s="84"/>
      <c r="W7" s="84" t="s">
        <v>486</v>
      </c>
      <c r="X7" s="84"/>
      <c r="Y7" s="84" t="s">
        <v>520</v>
      </c>
      <c r="Z7" s="84" t="s">
        <v>525</v>
      </c>
      <c r="AA7" s="84" t="s">
        <v>529</v>
      </c>
      <c r="AB7" s="84" t="s">
        <v>530</v>
      </c>
      <c r="AC7" s="84"/>
      <c r="AD7" s="84" t="s">
        <v>341</v>
      </c>
      <c r="AE7" s="84"/>
      <c r="AF7" s="84"/>
      <c r="AG7" s="84"/>
      <c r="AH7" s="123"/>
    </row>
    <row r="8" spans="1:34" x14ac:dyDescent="0.5">
      <c r="B8" s="122"/>
      <c r="C8" s="84"/>
      <c r="D8" s="84"/>
      <c r="E8" s="84"/>
      <c r="F8" s="84" t="s">
        <v>487</v>
      </c>
      <c r="G8" s="84" t="s">
        <v>491</v>
      </c>
      <c r="H8" s="84"/>
      <c r="I8" s="84" t="s">
        <v>498</v>
      </c>
      <c r="J8" s="84"/>
      <c r="K8" s="84" t="s">
        <v>501</v>
      </c>
      <c r="L8" s="84"/>
      <c r="M8" s="84"/>
      <c r="N8" s="84"/>
      <c r="O8" s="84" t="s">
        <v>506</v>
      </c>
      <c r="P8" s="84" t="s">
        <v>510</v>
      </c>
      <c r="Q8" s="84"/>
      <c r="R8" s="84"/>
      <c r="S8" s="84" t="s">
        <v>515</v>
      </c>
      <c r="T8" s="84"/>
      <c r="U8" s="84"/>
      <c r="V8" s="84"/>
      <c r="W8" s="84"/>
      <c r="X8" s="84"/>
      <c r="Y8" s="84" t="s">
        <v>521</v>
      </c>
      <c r="Z8" s="84" t="s">
        <v>486</v>
      </c>
      <c r="AA8" s="84" t="s">
        <v>527</v>
      </c>
      <c r="AB8" s="84" t="s">
        <v>531</v>
      </c>
      <c r="AC8" s="84"/>
      <c r="AD8" s="84" t="s">
        <v>533</v>
      </c>
      <c r="AE8" s="84"/>
      <c r="AF8" s="84"/>
      <c r="AG8" s="84"/>
      <c r="AH8" s="123"/>
    </row>
    <row r="9" spans="1:34" x14ac:dyDescent="0.5">
      <c r="B9" s="122"/>
      <c r="C9" s="84"/>
      <c r="D9" s="84"/>
      <c r="E9" s="84"/>
      <c r="F9" s="84" t="s">
        <v>488</v>
      </c>
      <c r="G9" s="84" t="s">
        <v>492</v>
      </c>
      <c r="H9" s="84"/>
      <c r="I9" s="84"/>
      <c r="J9" s="84"/>
      <c r="K9" s="84" t="s">
        <v>392</v>
      </c>
      <c r="L9" s="84"/>
      <c r="M9" s="84"/>
      <c r="N9" s="84"/>
      <c r="O9" s="84" t="s">
        <v>507</v>
      </c>
      <c r="P9" s="84" t="s">
        <v>511</v>
      </c>
      <c r="Q9" s="84"/>
      <c r="R9" s="84"/>
      <c r="S9" s="84"/>
      <c r="T9" s="84"/>
      <c r="U9" s="84"/>
      <c r="V9" s="84"/>
      <c r="W9" s="84"/>
      <c r="X9" s="84"/>
      <c r="Y9" s="84" t="s">
        <v>522</v>
      </c>
      <c r="Z9" s="84" t="s">
        <v>526</v>
      </c>
      <c r="AA9" s="84" t="s">
        <v>528</v>
      </c>
      <c r="AB9" s="84" t="s">
        <v>532</v>
      </c>
      <c r="AC9" s="84"/>
      <c r="AD9" s="84"/>
      <c r="AE9" s="84"/>
      <c r="AF9" s="84"/>
      <c r="AG9" s="84"/>
      <c r="AH9" s="123"/>
    </row>
    <row r="10" spans="1:34" x14ac:dyDescent="0.5">
      <c r="B10" s="122"/>
      <c r="C10" s="84"/>
      <c r="D10" s="84"/>
      <c r="E10" s="84"/>
      <c r="F10" s="84"/>
      <c r="G10" s="84" t="s">
        <v>493</v>
      </c>
      <c r="H10" s="84"/>
      <c r="I10" s="84"/>
      <c r="J10" s="84"/>
      <c r="K10" s="84" t="s">
        <v>502</v>
      </c>
      <c r="L10" s="84"/>
      <c r="M10" s="84"/>
      <c r="N10" s="84"/>
      <c r="O10" s="84"/>
      <c r="P10" s="84" t="s">
        <v>512</v>
      </c>
      <c r="Q10" s="84"/>
      <c r="R10" s="84"/>
      <c r="S10" s="84"/>
      <c r="T10" s="84"/>
      <c r="U10" s="84"/>
      <c r="V10" s="84"/>
      <c r="W10" s="84"/>
      <c r="X10" s="84"/>
      <c r="Y10" s="84" t="s">
        <v>523</v>
      </c>
      <c r="Z10" s="84"/>
      <c r="AA10" s="84"/>
      <c r="AB10" s="84"/>
      <c r="AC10" s="84"/>
      <c r="AD10" s="84"/>
      <c r="AE10" s="84"/>
      <c r="AF10" s="84"/>
      <c r="AG10" s="84"/>
      <c r="AH10" s="123"/>
    </row>
    <row r="11" spans="1:34" x14ac:dyDescent="0.5">
      <c r="B11" s="122"/>
      <c r="C11" s="84"/>
      <c r="D11" s="84"/>
      <c r="E11" s="84"/>
      <c r="F11" s="84"/>
      <c r="G11" s="84"/>
      <c r="H11" s="84"/>
      <c r="I11" s="84"/>
      <c r="J11" s="84"/>
      <c r="K11" s="84" t="s">
        <v>503</v>
      </c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 t="s">
        <v>504</v>
      </c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/>
      <c r="D15" s="31">
        <f t="shared" ref="D15:AG15" si="3">SUM(D16:D22)</f>
        <v>4175</v>
      </c>
      <c r="E15" s="31">
        <f t="shared" si="3"/>
        <v>389</v>
      </c>
      <c r="F15" s="31">
        <f t="shared" si="3"/>
        <v>1418</v>
      </c>
      <c r="G15" s="31">
        <f t="shared" si="3"/>
        <v>921</v>
      </c>
      <c r="H15" s="31">
        <f>SUM(H16:H22)</f>
        <v>209</v>
      </c>
      <c r="I15" s="31">
        <f t="shared" ref="I15:J15" si="4">SUM(I16:I22)</f>
        <v>780</v>
      </c>
      <c r="J15" s="31">
        <f t="shared" si="4"/>
        <v>0</v>
      </c>
      <c r="K15" s="31">
        <f t="shared" si="3"/>
        <v>14743</v>
      </c>
      <c r="L15" s="31">
        <f t="shared" si="3"/>
        <v>0</v>
      </c>
      <c r="M15" s="31">
        <f t="shared" si="3"/>
        <v>0</v>
      </c>
      <c r="N15" s="31">
        <f t="shared" si="3"/>
        <v>0</v>
      </c>
      <c r="O15" s="31">
        <f t="shared" si="3"/>
        <v>2797</v>
      </c>
      <c r="P15" s="31">
        <f t="shared" si="3"/>
        <v>2246</v>
      </c>
      <c r="Q15" s="31">
        <f t="shared" si="3"/>
        <v>0</v>
      </c>
      <c r="R15" s="31">
        <f t="shared" si="3"/>
        <v>740</v>
      </c>
      <c r="S15" s="31">
        <f t="shared" si="3"/>
        <v>1266</v>
      </c>
      <c r="T15" s="31">
        <f t="shared" si="3"/>
        <v>90</v>
      </c>
      <c r="U15" s="31">
        <f t="shared" si="3"/>
        <v>1193</v>
      </c>
      <c r="V15" s="31">
        <f t="shared" si="3"/>
        <v>540</v>
      </c>
      <c r="W15" s="31">
        <f t="shared" si="3"/>
        <v>194</v>
      </c>
      <c r="X15" s="31">
        <f t="shared" si="3"/>
        <v>0</v>
      </c>
      <c r="Y15" s="31">
        <f t="shared" si="3"/>
        <v>5382</v>
      </c>
      <c r="Z15" s="31">
        <f t="shared" si="3"/>
        <v>1014</v>
      </c>
      <c r="AA15" s="31">
        <f t="shared" si="3"/>
        <v>1515</v>
      </c>
      <c r="AB15" s="31">
        <f t="shared" si="3"/>
        <v>2113</v>
      </c>
      <c r="AC15" s="31">
        <f t="shared" si="3"/>
        <v>0</v>
      </c>
      <c r="AD15" s="31">
        <f t="shared" si="3"/>
        <v>410</v>
      </c>
      <c r="AE15" s="31">
        <f t="shared" si="3"/>
        <v>0</v>
      </c>
      <c r="AF15" s="31">
        <f t="shared" si="3"/>
        <v>0</v>
      </c>
      <c r="AG15" s="31">
        <f t="shared" si="3"/>
        <v>0</v>
      </c>
      <c r="AH15" s="32">
        <f>SUM(C15:AG15)</f>
        <v>42135</v>
      </c>
    </row>
    <row r="16" spans="1:34" ht="18.75" customHeight="1" x14ac:dyDescent="0.5">
      <c r="B16" s="60" t="s">
        <v>18</v>
      </c>
      <c r="C16" s="30"/>
      <c r="D16" s="30"/>
      <c r="E16" s="30"/>
      <c r="F16" s="30">
        <v>428</v>
      </c>
      <c r="G16" s="30"/>
      <c r="H16" s="30"/>
      <c r="I16" s="30"/>
      <c r="J16" s="30"/>
      <c r="K16" s="30"/>
      <c r="L16" s="30"/>
      <c r="M16" s="30"/>
      <c r="N16" s="30"/>
      <c r="O16" s="30">
        <v>307</v>
      </c>
      <c r="P16" s="30">
        <v>38</v>
      </c>
      <c r="Q16" s="30"/>
      <c r="R16" s="30"/>
      <c r="S16" s="30">
        <v>1086</v>
      </c>
      <c r="T16" s="30"/>
      <c r="U16" s="30"/>
      <c r="V16" s="30"/>
      <c r="W16" s="30"/>
      <c r="X16" s="30"/>
      <c r="Y16" s="30"/>
      <c r="Z16" s="30">
        <v>599</v>
      </c>
      <c r="AA16" s="30">
        <v>558</v>
      </c>
      <c r="AB16" s="30">
        <v>1140</v>
      </c>
      <c r="AC16" s="30"/>
      <c r="AD16" s="30">
        <v>140</v>
      </c>
      <c r="AE16" s="30"/>
      <c r="AF16" s="30"/>
      <c r="AG16" s="30"/>
      <c r="AH16" s="10"/>
    </row>
    <row r="17" spans="2:34" ht="18.75" customHeight="1" x14ac:dyDescent="0.5">
      <c r="B17" s="61" t="s">
        <v>19</v>
      </c>
      <c r="C17" s="22"/>
      <c r="D17" s="22"/>
      <c r="E17" s="22"/>
      <c r="F17" s="22"/>
      <c r="G17" s="22"/>
      <c r="H17" s="22"/>
      <c r="I17" s="22"/>
      <c r="J17" s="22"/>
      <c r="K17" s="22">
        <v>2274</v>
      </c>
      <c r="L17" s="22"/>
      <c r="M17" s="22"/>
      <c r="N17" s="22"/>
      <c r="O17" s="22"/>
      <c r="P17" s="22">
        <v>350</v>
      </c>
      <c r="Q17" s="22"/>
      <c r="R17" s="22"/>
      <c r="S17" s="22"/>
      <c r="T17" s="22"/>
      <c r="U17" s="22"/>
      <c r="V17" s="22"/>
      <c r="W17" s="22">
        <v>84</v>
      </c>
      <c r="X17" s="22"/>
      <c r="Y17" s="22">
        <v>360</v>
      </c>
      <c r="Z17" s="22">
        <v>210</v>
      </c>
      <c r="AA17" s="22">
        <v>0</v>
      </c>
      <c r="AB17" s="22">
        <v>113</v>
      </c>
      <c r="AC17" s="22"/>
      <c r="AD17" s="22"/>
      <c r="AE17" s="22"/>
      <c r="AF17" s="22"/>
      <c r="AG17" s="22"/>
      <c r="AH17" s="10"/>
    </row>
    <row r="18" spans="2:34" ht="18.75" customHeight="1" x14ac:dyDescent="0.5">
      <c r="B18" s="61" t="s">
        <v>20</v>
      </c>
      <c r="C18" s="22"/>
      <c r="D18" s="22">
        <v>4175</v>
      </c>
      <c r="E18" s="22">
        <v>94</v>
      </c>
      <c r="F18" s="22">
        <v>90</v>
      </c>
      <c r="G18" s="22">
        <v>833</v>
      </c>
      <c r="H18" s="22">
        <v>209</v>
      </c>
      <c r="I18" s="22">
        <v>450</v>
      </c>
      <c r="J18" s="22"/>
      <c r="K18" s="22">
        <v>12350</v>
      </c>
      <c r="L18" s="22"/>
      <c r="M18" s="22"/>
      <c r="N18" s="22"/>
      <c r="O18" s="22">
        <v>2490</v>
      </c>
      <c r="P18" s="22">
        <v>270</v>
      </c>
      <c r="Q18" s="22"/>
      <c r="R18" s="22">
        <v>740</v>
      </c>
      <c r="S18" s="22">
        <v>180</v>
      </c>
      <c r="T18" s="22"/>
      <c r="U18" s="22">
        <v>480</v>
      </c>
      <c r="V18" s="22">
        <v>540</v>
      </c>
      <c r="W18" s="22">
        <v>90</v>
      </c>
      <c r="X18" s="22"/>
      <c r="Y18" s="22">
        <v>5002</v>
      </c>
      <c r="Z18" s="22">
        <v>90</v>
      </c>
      <c r="AA18" s="22">
        <v>390</v>
      </c>
      <c r="AB18" s="22">
        <v>860</v>
      </c>
      <c r="AC18" s="22"/>
      <c r="AD18" s="22">
        <v>270</v>
      </c>
      <c r="AE18" s="22"/>
      <c r="AF18" s="22"/>
      <c r="AG18" s="22"/>
      <c r="AH18" s="10"/>
    </row>
    <row r="19" spans="2:34" ht="18.75" customHeight="1" x14ac:dyDescent="0.5">
      <c r="B19" s="61" t="s">
        <v>21</v>
      </c>
      <c r="C19" s="22"/>
      <c r="D19" s="22"/>
      <c r="E19" s="22"/>
      <c r="F19" s="22"/>
      <c r="G19" s="22"/>
      <c r="H19" s="22"/>
      <c r="I19" s="22">
        <v>80</v>
      </c>
      <c r="J19" s="22"/>
      <c r="K19" s="22"/>
      <c r="L19" s="22"/>
      <c r="M19" s="22"/>
      <c r="N19" s="22"/>
      <c r="O19" s="22"/>
      <c r="P19" s="22">
        <v>1426</v>
      </c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>
        <v>567</v>
      </c>
      <c r="AB19" s="22"/>
      <c r="AC19" s="22"/>
      <c r="AD19" s="22"/>
      <c r="AE19" s="22"/>
      <c r="AF19" s="22"/>
      <c r="AG19" s="22"/>
      <c r="AH19" s="10"/>
    </row>
    <row r="20" spans="2:34" ht="18.75" customHeight="1" x14ac:dyDescent="0.5">
      <c r="B20" s="61" t="s">
        <v>22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>
        <v>90</v>
      </c>
      <c r="U20" s="22">
        <v>713</v>
      </c>
      <c r="V20" s="22"/>
      <c r="W20" s="22">
        <v>20</v>
      </c>
      <c r="X20" s="22"/>
      <c r="Y20" s="22">
        <v>20</v>
      </c>
      <c r="Z20" s="22"/>
      <c r="AA20" s="22"/>
      <c r="AB20" s="22"/>
      <c r="AC20" s="22"/>
      <c r="AD20" s="22"/>
      <c r="AE20" s="22"/>
      <c r="AF20" s="22"/>
      <c r="AG20" s="22"/>
      <c r="AH20" s="10"/>
    </row>
    <row r="21" spans="2:34" ht="18.75" customHeight="1" x14ac:dyDescent="0.5">
      <c r="B21" s="61" t="s">
        <v>32</v>
      </c>
      <c r="C21" s="22"/>
      <c r="D21" s="22"/>
      <c r="E21" s="22">
        <v>295</v>
      </c>
      <c r="F21" s="22"/>
      <c r="G21" s="22">
        <v>88</v>
      </c>
      <c r="H21" s="22"/>
      <c r="I21" s="22">
        <v>250</v>
      </c>
      <c r="J21" s="22"/>
      <c r="K21" s="22">
        <v>119</v>
      </c>
      <c r="L21" s="22"/>
      <c r="M21" s="22"/>
      <c r="N21" s="22"/>
      <c r="O21" s="22"/>
      <c r="P21" s="22">
        <v>162</v>
      </c>
      <c r="Q21" s="22"/>
      <c r="R21" s="22"/>
      <c r="S21" s="22"/>
      <c r="T21" s="22"/>
      <c r="U21" s="22"/>
      <c r="V21" s="22"/>
      <c r="W21" s="22"/>
      <c r="X21" s="22"/>
      <c r="Y21" s="22"/>
      <c r="Z21" s="22">
        <v>115</v>
      </c>
      <c r="AA21" s="22"/>
      <c r="AB21" s="22"/>
      <c r="AC21" s="22"/>
      <c r="AD21" s="22"/>
      <c r="AE21" s="22"/>
      <c r="AF21" s="22"/>
      <c r="AG21" s="22"/>
      <c r="AH21" s="10"/>
    </row>
    <row r="22" spans="2:34" ht="19.5" customHeight="1" thickBot="1" x14ac:dyDescent="0.55000000000000004">
      <c r="B22" s="62" t="s">
        <v>33</v>
      </c>
      <c r="C22" s="33"/>
      <c r="D22" s="33"/>
      <c r="E22" s="33"/>
      <c r="F22" s="33">
        <v>900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4"/>
    </row>
    <row r="23" spans="2:34" ht="21.75" thickBot="1" x14ac:dyDescent="0.55000000000000004">
      <c r="B23" s="63" t="s">
        <v>2</v>
      </c>
      <c r="C23" s="37"/>
      <c r="D23" s="37">
        <f t="shared" ref="D23:AG23" si="5">SUM(D24:D36)</f>
        <v>55</v>
      </c>
      <c r="E23" s="37">
        <f t="shared" si="5"/>
        <v>0</v>
      </c>
      <c r="F23" s="37">
        <f t="shared" si="5"/>
        <v>28</v>
      </c>
      <c r="G23" s="37">
        <f t="shared" si="5"/>
        <v>0</v>
      </c>
      <c r="H23" s="37">
        <f>SUM(H24:H36)</f>
        <v>30</v>
      </c>
      <c r="I23" s="37">
        <f t="shared" ref="I23:J23" si="6">SUM(I24:I36)</f>
        <v>114</v>
      </c>
      <c r="J23" s="37">
        <f t="shared" si="6"/>
        <v>0</v>
      </c>
      <c r="K23" s="37">
        <f t="shared" si="5"/>
        <v>110</v>
      </c>
      <c r="L23" s="37">
        <f t="shared" si="5"/>
        <v>0</v>
      </c>
      <c r="M23" s="37">
        <f t="shared" si="5"/>
        <v>0</v>
      </c>
      <c r="N23" s="37">
        <f t="shared" si="5"/>
        <v>0</v>
      </c>
      <c r="O23" s="37">
        <f t="shared" si="5"/>
        <v>0</v>
      </c>
      <c r="P23" s="37">
        <f t="shared" si="5"/>
        <v>90</v>
      </c>
      <c r="Q23" s="37">
        <f t="shared" si="5"/>
        <v>0</v>
      </c>
      <c r="R23" s="37">
        <f t="shared" si="5"/>
        <v>235</v>
      </c>
      <c r="S23" s="37">
        <f t="shared" si="5"/>
        <v>5</v>
      </c>
      <c r="T23" s="37">
        <f t="shared" si="5"/>
        <v>0</v>
      </c>
      <c r="U23" s="37">
        <f t="shared" si="5"/>
        <v>50</v>
      </c>
      <c r="V23" s="37">
        <f t="shared" si="5"/>
        <v>55</v>
      </c>
      <c r="W23" s="37">
        <f t="shared" si="5"/>
        <v>50</v>
      </c>
      <c r="X23" s="37">
        <f t="shared" si="5"/>
        <v>0</v>
      </c>
      <c r="Y23" s="37">
        <f t="shared" si="5"/>
        <v>75</v>
      </c>
      <c r="Z23" s="37">
        <f t="shared" si="5"/>
        <v>26</v>
      </c>
      <c r="AA23" s="37">
        <f t="shared" si="5"/>
        <v>33</v>
      </c>
      <c r="AB23" s="37">
        <f t="shared" si="5"/>
        <v>132</v>
      </c>
      <c r="AC23" s="37">
        <f t="shared" si="5"/>
        <v>210</v>
      </c>
      <c r="AD23" s="37">
        <f t="shared" si="5"/>
        <v>30</v>
      </c>
      <c r="AE23" s="37">
        <f t="shared" si="5"/>
        <v>0</v>
      </c>
      <c r="AF23" s="37">
        <f t="shared" si="5"/>
        <v>0</v>
      </c>
      <c r="AG23" s="37">
        <f t="shared" si="5"/>
        <v>0</v>
      </c>
      <c r="AH23" s="38">
        <f>SUM(C23:AG23)</f>
        <v>1328</v>
      </c>
    </row>
    <row r="24" spans="2:34" x14ac:dyDescent="0.5">
      <c r="B24" s="35" t="s">
        <v>24</v>
      </c>
      <c r="C24" s="36"/>
      <c r="D24" s="36">
        <v>5</v>
      </c>
      <c r="E24" s="36"/>
      <c r="F24" s="36">
        <v>5</v>
      </c>
      <c r="G24" s="36"/>
      <c r="H24" s="36"/>
      <c r="I24" s="36">
        <v>5</v>
      </c>
      <c r="J24" s="36"/>
      <c r="K24" s="36"/>
      <c r="L24" s="36"/>
      <c r="M24" s="36"/>
      <c r="N24" s="36"/>
      <c r="O24" s="36"/>
      <c r="P24" s="36">
        <v>10</v>
      </c>
      <c r="Q24" s="36"/>
      <c r="R24" s="36"/>
      <c r="S24" s="36">
        <v>5</v>
      </c>
      <c r="T24" s="36"/>
      <c r="U24" s="36"/>
      <c r="V24" s="36"/>
      <c r="W24" s="36"/>
      <c r="X24" s="36"/>
      <c r="Y24" s="36"/>
      <c r="Z24" s="36">
        <v>5</v>
      </c>
      <c r="AA24" s="36"/>
      <c r="AB24" s="36">
        <v>5</v>
      </c>
      <c r="AC24" s="36"/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>
        <v>50</v>
      </c>
      <c r="E25" s="8"/>
      <c r="F25" s="8"/>
      <c r="G25" s="8"/>
      <c r="H25" s="8"/>
      <c r="I25" s="8">
        <v>45</v>
      </c>
      <c r="J25" s="8"/>
      <c r="K25" s="8">
        <v>50</v>
      </c>
      <c r="L25" s="8"/>
      <c r="M25" s="8"/>
      <c r="N25" s="8"/>
      <c r="O25" s="8"/>
      <c r="P25" s="8">
        <v>50</v>
      </c>
      <c r="Q25" s="8"/>
      <c r="R25" s="8">
        <v>50</v>
      </c>
      <c r="S25" s="8"/>
      <c r="T25" s="8"/>
      <c r="U25" s="8"/>
      <c r="V25" s="8">
        <v>50</v>
      </c>
      <c r="W25" s="8">
        <v>50</v>
      </c>
      <c r="X25" s="8"/>
      <c r="Y25" s="8"/>
      <c r="Z25" s="8"/>
      <c r="AA25" s="8"/>
      <c r="AB25" s="8">
        <v>50</v>
      </c>
      <c r="AC25" s="8">
        <v>50</v>
      </c>
      <c r="AD25" s="8"/>
      <c r="AE25" s="8"/>
      <c r="AF25" s="8"/>
      <c r="AG25" s="8"/>
      <c r="AH25" s="6"/>
    </row>
    <row r="26" spans="2:34" x14ac:dyDescent="0.5">
      <c r="B26" s="11" t="s">
        <v>26</v>
      </c>
      <c r="C26" s="8"/>
      <c r="D26" s="8"/>
      <c r="E26" s="8"/>
      <c r="F26" s="8"/>
      <c r="G26" s="8"/>
      <c r="H26" s="8">
        <v>30</v>
      </c>
      <c r="I26" s="8"/>
      <c r="J26" s="8"/>
      <c r="K26" s="8">
        <v>60</v>
      </c>
      <c r="L26" s="8"/>
      <c r="M26" s="8"/>
      <c r="N26" s="8"/>
      <c r="O26" s="8"/>
      <c r="P26" s="8">
        <v>30</v>
      </c>
      <c r="Q26" s="8"/>
      <c r="R26" s="8"/>
      <c r="S26" s="8"/>
      <c r="T26" s="8"/>
      <c r="U26" s="8"/>
      <c r="V26" s="8">
        <v>5</v>
      </c>
      <c r="W26" s="8"/>
      <c r="X26" s="8"/>
      <c r="Y26" s="8"/>
      <c r="Z26" s="8"/>
      <c r="AA26" s="8"/>
      <c r="AB26" s="8">
        <v>65</v>
      </c>
      <c r="AC26" s="8"/>
      <c r="AD26" s="8"/>
      <c r="AE26" s="8"/>
      <c r="AF26" s="8"/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>
        <v>160</v>
      </c>
      <c r="S27" s="8"/>
      <c r="T27" s="8"/>
      <c r="U27" s="8"/>
      <c r="V27" s="8"/>
      <c r="W27" s="8"/>
      <c r="X27" s="8"/>
      <c r="Y27" s="8"/>
      <c r="Z27" s="8"/>
      <c r="AA27" s="8"/>
      <c r="AB27" s="8"/>
      <c r="AC27" s="8">
        <v>160</v>
      </c>
      <c r="AD27" s="8"/>
      <c r="AE27" s="8"/>
      <c r="AF27" s="8"/>
      <c r="AG27" s="8"/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>
        <v>13</v>
      </c>
      <c r="AA33" s="8"/>
      <c r="AB33" s="8"/>
      <c r="AC33" s="8"/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>
        <v>13</v>
      </c>
      <c r="AB34" s="8"/>
      <c r="AC34" s="8"/>
      <c r="AD34" s="8"/>
      <c r="AE34" s="8"/>
      <c r="AF34" s="8"/>
      <c r="AG34" s="8"/>
      <c r="AH34" s="6"/>
    </row>
    <row r="35" spans="2:34" x14ac:dyDescent="0.5">
      <c r="B35" s="11" t="s">
        <v>48</v>
      </c>
      <c r="C35" s="8"/>
      <c r="D35" s="8"/>
      <c r="E35" s="8"/>
      <c r="F35" s="8">
        <v>23</v>
      </c>
      <c r="G35" s="8"/>
      <c r="H35" s="8"/>
      <c r="I35" s="8">
        <v>64</v>
      </c>
      <c r="J35" s="8"/>
      <c r="K35" s="8"/>
      <c r="L35" s="8"/>
      <c r="M35" s="8"/>
      <c r="N35" s="8"/>
      <c r="O35" s="8"/>
      <c r="P35" s="8"/>
      <c r="Q35" s="8"/>
      <c r="R35" s="8">
        <v>25</v>
      </c>
      <c r="S35" s="8"/>
      <c r="T35" s="8"/>
      <c r="U35" s="8">
        <v>50</v>
      </c>
      <c r="V35" s="8"/>
      <c r="W35" s="8"/>
      <c r="X35" s="8"/>
      <c r="Y35" s="8">
        <v>75</v>
      </c>
      <c r="Z35" s="8">
        <v>8</v>
      </c>
      <c r="AA35" s="8">
        <v>20</v>
      </c>
      <c r="AB35" s="8">
        <v>12</v>
      </c>
      <c r="AC35" s="8"/>
      <c r="AD35" s="8">
        <v>20</v>
      </c>
      <c r="AE35" s="8"/>
      <c r="AF35" s="8"/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>
        <v>10</v>
      </c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/>
      <c r="D37" s="103">
        <v>2922</v>
      </c>
      <c r="E37" s="103">
        <v>641</v>
      </c>
      <c r="F37" s="103">
        <v>1391</v>
      </c>
      <c r="G37" s="103">
        <v>341</v>
      </c>
      <c r="H37" s="44">
        <v>1152</v>
      </c>
      <c r="I37" s="103">
        <v>683</v>
      </c>
      <c r="J37" s="103"/>
      <c r="K37" s="103">
        <v>12958</v>
      </c>
      <c r="L37" s="103"/>
      <c r="M37" s="103">
        <v>512</v>
      </c>
      <c r="N37" s="103"/>
      <c r="O37" s="103">
        <v>3453</v>
      </c>
      <c r="P37" s="103">
        <v>1883</v>
      </c>
      <c r="Q37" s="103"/>
      <c r="R37" s="103">
        <v>659</v>
      </c>
      <c r="S37" s="103">
        <v>886</v>
      </c>
      <c r="T37" s="103"/>
      <c r="U37" s="103">
        <v>1195</v>
      </c>
      <c r="V37" s="103">
        <v>650</v>
      </c>
      <c r="W37" s="103">
        <v>689</v>
      </c>
      <c r="X37" s="103"/>
      <c r="Y37" s="103">
        <v>1506</v>
      </c>
      <c r="Z37" s="103">
        <v>799</v>
      </c>
      <c r="AA37" s="103">
        <v>1288</v>
      </c>
      <c r="AB37" s="103">
        <v>1515</v>
      </c>
      <c r="AC37" s="103">
        <v>1163</v>
      </c>
      <c r="AD37" s="103">
        <v>370</v>
      </c>
      <c r="AE37" s="103"/>
      <c r="AF37" s="103"/>
      <c r="AG37" s="103"/>
      <c r="AH37" s="46">
        <f>SUM(C37:AG37)</f>
        <v>36656</v>
      </c>
    </row>
    <row r="38" spans="2:34" x14ac:dyDescent="0.5">
      <c r="B38" s="42" t="s">
        <v>3</v>
      </c>
      <c r="C38" s="43"/>
      <c r="D38" s="43">
        <v>64</v>
      </c>
      <c r="E38" s="43"/>
      <c r="F38" s="43">
        <v>15</v>
      </c>
      <c r="G38" s="43"/>
      <c r="H38" s="43">
        <v>867</v>
      </c>
      <c r="I38" s="43">
        <v>60</v>
      </c>
      <c r="J38" s="43"/>
      <c r="K38" s="95">
        <v>410</v>
      </c>
      <c r="L38" s="105"/>
      <c r="M38" s="104">
        <v>103</v>
      </c>
      <c r="N38" s="104"/>
      <c r="O38" s="105">
        <v>2067</v>
      </c>
      <c r="P38" s="105">
        <v>44</v>
      </c>
      <c r="Q38" s="105"/>
      <c r="R38" s="104">
        <v>0</v>
      </c>
      <c r="S38" s="105">
        <v>214</v>
      </c>
      <c r="T38" s="105"/>
      <c r="U38" s="104">
        <v>521</v>
      </c>
      <c r="V38" s="105">
        <v>217</v>
      </c>
      <c r="W38" s="105">
        <v>186</v>
      </c>
      <c r="X38" s="105"/>
      <c r="Y38" s="105"/>
      <c r="Z38" s="105"/>
      <c r="AA38" s="105">
        <v>59</v>
      </c>
      <c r="AB38" s="104">
        <v>46</v>
      </c>
      <c r="AC38" s="105">
        <v>176</v>
      </c>
      <c r="AD38" s="105">
        <v>0</v>
      </c>
      <c r="AE38" s="105"/>
      <c r="AF38" s="105"/>
      <c r="AG38" s="105"/>
      <c r="AH38" s="7"/>
    </row>
    <row r="39" spans="2:34" x14ac:dyDescent="0.5">
      <c r="B39" s="15" t="s">
        <v>10</v>
      </c>
      <c r="C39" s="9"/>
      <c r="D39" s="9">
        <v>23</v>
      </c>
      <c r="E39" s="9"/>
      <c r="F39" s="9">
        <v>0</v>
      </c>
      <c r="G39" s="9"/>
      <c r="H39" s="9">
        <v>282</v>
      </c>
      <c r="I39" s="9">
        <v>10</v>
      </c>
      <c r="J39" s="9"/>
      <c r="K39" s="9">
        <v>122</v>
      </c>
      <c r="L39" s="9"/>
      <c r="M39" s="9">
        <v>42</v>
      </c>
      <c r="N39" s="9"/>
      <c r="O39" s="9">
        <v>355</v>
      </c>
      <c r="P39" s="9"/>
      <c r="Q39" s="9"/>
      <c r="R39" s="9">
        <v>0</v>
      </c>
      <c r="S39" s="9">
        <v>48</v>
      </c>
      <c r="T39" s="9"/>
      <c r="U39" s="9">
        <v>31</v>
      </c>
      <c r="V39" s="9">
        <v>51</v>
      </c>
      <c r="W39" s="9"/>
      <c r="X39" s="9"/>
      <c r="Y39" s="9"/>
      <c r="Z39" s="9"/>
      <c r="AA39" s="9">
        <v>15</v>
      </c>
      <c r="AB39" s="9">
        <v>23</v>
      </c>
      <c r="AC39" s="9">
        <v>90</v>
      </c>
      <c r="AD39" s="9">
        <v>0</v>
      </c>
      <c r="AE39" s="9"/>
      <c r="AF39" s="9"/>
      <c r="AG39" s="9"/>
      <c r="AH39" s="14"/>
    </row>
    <row r="40" spans="2:34" x14ac:dyDescent="0.5">
      <c r="B40" s="15" t="s">
        <v>11</v>
      </c>
      <c r="C40" s="9"/>
      <c r="D40" s="9">
        <v>1</v>
      </c>
      <c r="E40" s="9"/>
      <c r="F40" s="9">
        <v>0</v>
      </c>
      <c r="G40" s="9"/>
      <c r="H40" s="9">
        <v>17</v>
      </c>
      <c r="I40" s="9">
        <v>1</v>
      </c>
      <c r="J40" s="9"/>
      <c r="K40" s="9">
        <v>9</v>
      </c>
      <c r="L40" s="9"/>
      <c r="M40" s="9">
        <v>2</v>
      </c>
      <c r="N40" s="9"/>
      <c r="O40" s="9">
        <v>33</v>
      </c>
      <c r="P40" s="9">
        <v>1</v>
      </c>
      <c r="Q40" s="9"/>
      <c r="R40" s="9">
        <v>0</v>
      </c>
      <c r="S40" s="9">
        <v>4</v>
      </c>
      <c r="T40" s="9"/>
      <c r="U40" s="9">
        <v>10</v>
      </c>
      <c r="V40" s="9">
        <v>4</v>
      </c>
      <c r="W40" s="9"/>
      <c r="X40" s="9"/>
      <c r="Y40" s="9"/>
      <c r="Z40" s="9"/>
      <c r="AA40" s="9">
        <v>1</v>
      </c>
      <c r="AB40" s="9">
        <v>1</v>
      </c>
      <c r="AC40" s="9">
        <v>3</v>
      </c>
      <c r="AD40" s="9">
        <v>0</v>
      </c>
      <c r="AE40" s="9"/>
      <c r="AF40" s="9"/>
      <c r="AG40" s="9"/>
      <c r="AH40" s="7"/>
    </row>
    <row r="41" spans="2:34" x14ac:dyDescent="0.5">
      <c r="B41" s="16" t="s">
        <v>5</v>
      </c>
      <c r="C41" s="97"/>
      <c r="D41" s="97">
        <f t="shared" ref="D41:AG41" si="7">SUM(D37-D38)</f>
        <v>2858</v>
      </c>
      <c r="E41" s="97">
        <f t="shared" si="7"/>
        <v>641</v>
      </c>
      <c r="F41" s="97">
        <f t="shared" si="7"/>
        <v>1376</v>
      </c>
      <c r="G41" s="97">
        <f t="shared" si="7"/>
        <v>341</v>
      </c>
      <c r="H41" s="97">
        <f>SUM(H37-H38)</f>
        <v>285</v>
      </c>
      <c r="I41" s="97">
        <f t="shared" ref="I41:J41" si="8">SUM(I37-I38)</f>
        <v>623</v>
      </c>
      <c r="J41" s="97">
        <f t="shared" si="8"/>
        <v>0</v>
      </c>
      <c r="K41" s="97">
        <f>SUM(K37-K38)</f>
        <v>12548</v>
      </c>
      <c r="L41" s="97">
        <f t="shared" si="7"/>
        <v>0</v>
      </c>
      <c r="M41" s="97">
        <f t="shared" si="7"/>
        <v>409</v>
      </c>
      <c r="N41" s="97">
        <f t="shared" si="7"/>
        <v>0</v>
      </c>
      <c r="O41" s="97">
        <f t="shared" si="7"/>
        <v>1386</v>
      </c>
      <c r="P41" s="97">
        <f t="shared" si="7"/>
        <v>1839</v>
      </c>
      <c r="Q41" s="97">
        <f t="shared" si="7"/>
        <v>0</v>
      </c>
      <c r="R41" s="97">
        <f t="shared" si="7"/>
        <v>659</v>
      </c>
      <c r="S41" s="97">
        <f t="shared" si="7"/>
        <v>672</v>
      </c>
      <c r="T41" s="97">
        <f t="shared" si="7"/>
        <v>0</v>
      </c>
      <c r="U41" s="97">
        <f t="shared" si="7"/>
        <v>674</v>
      </c>
      <c r="V41" s="97">
        <f t="shared" si="7"/>
        <v>433</v>
      </c>
      <c r="W41" s="97">
        <f t="shared" si="7"/>
        <v>503</v>
      </c>
      <c r="X41" s="97">
        <f t="shared" si="7"/>
        <v>0</v>
      </c>
      <c r="Y41" s="97">
        <f t="shared" si="7"/>
        <v>1506</v>
      </c>
      <c r="Z41" s="97">
        <f t="shared" si="7"/>
        <v>799</v>
      </c>
      <c r="AA41" s="97">
        <f t="shared" si="7"/>
        <v>1229</v>
      </c>
      <c r="AB41" s="97">
        <f t="shared" si="7"/>
        <v>1469</v>
      </c>
      <c r="AC41" s="97">
        <f t="shared" si="7"/>
        <v>987</v>
      </c>
      <c r="AD41" s="97">
        <f t="shared" si="7"/>
        <v>370</v>
      </c>
      <c r="AE41" s="97">
        <f t="shared" si="7"/>
        <v>0</v>
      </c>
      <c r="AF41" s="97">
        <f t="shared" si="7"/>
        <v>0</v>
      </c>
      <c r="AG41" s="97">
        <f t="shared" si="7"/>
        <v>0</v>
      </c>
      <c r="AH41" s="13">
        <f>SUM(C41:AG41)</f>
        <v>31607</v>
      </c>
    </row>
    <row r="42" spans="2:34" x14ac:dyDescent="0.5">
      <c r="B42" s="16" t="s">
        <v>8</v>
      </c>
      <c r="C42" s="5"/>
      <c r="D42" s="5">
        <v>54</v>
      </c>
      <c r="E42" s="5"/>
      <c r="F42" s="5">
        <v>748</v>
      </c>
      <c r="G42" s="5">
        <v>120</v>
      </c>
      <c r="H42" s="5">
        <v>5</v>
      </c>
      <c r="I42" s="5">
        <v>1030</v>
      </c>
      <c r="J42" s="5"/>
      <c r="K42" s="92">
        <v>1996</v>
      </c>
      <c r="L42" s="5"/>
      <c r="M42" s="5">
        <v>811</v>
      </c>
      <c r="N42" s="5"/>
      <c r="O42" s="5">
        <v>0</v>
      </c>
      <c r="P42" s="5">
        <v>47</v>
      </c>
      <c r="Q42" s="5"/>
      <c r="R42" s="5">
        <v>0</v>
      </c>
      <c r="S42" s="5">
        <v>0</v>
      </c>
      <c r="T42" s="5"/>
      <c r="U42" s="5">
        <v>0</v>
      </c>
      <c r="V42" s="5">
        <v>10</v>
      </c>
      <c r="W42" s="5">
        <v>12</v>
      </c>
      <c r="X42" s="5"/>
      <c r="Y42" s="5"/>
      <c r="Z42" s="5"/>
      <c r="AA42" s="5">
        <v>131</v>
      </c>
      <c r="AB42" s="5">
        <v>14</v>
      </c>
      <c r="AC42" s="92">
        <v>105</v>
      </c>
      <c r="AD42" s="5">
        <v>78</v>
      </c>
      <c r="AE42" s="5"/>
      <c r="AF42" s="5"/>
      <c r="AG42" s="5"/>
      <c r="AH42" s="12"/>
    </row>
    <row r="43" spans="2:34" ht="18" customHeight="1" thickBot="1" x14ac:dyDescent="0.55000000000000004">
      <c r="B43" s="47" t="s">
        <v>7</v>
      </c>
      <c r="C43" s="48"/>
      <c r="D43" s="48">
        <v>51</v>
      </c>
      <c r="E43" s="48"/>
      <c r="F43" s="48">
        <v>17</v>
      </c>
      <c r="G43" s="48">
        <v>4</v>
      </c>
      <c r="H43" s="48">
        <v>32</v>
      </c>
      <c r="I43" s="48">
        <v>6</v>
      </c>
      <c r="J43" s="48"/>
      <c r="K43" s="48">
        <v>241</v>
      </c>
      <c r="L43" s="48"/>
      <c r="M43" s="48">
        <v>3</v>
      </c>
      <c r="N43" s="48"/>
      <c r="O43" s="48">
        <v>12</v>
      </c>
      <c r="P43" s="48">
        <v>32</v>
      </c>
      <c r="Q43" s="48"/>
      <c r="R43" s="48">
        <v>11</v>
      </c>
      <c r="S43" s="48">
        <v>0</v>
      </c>
      <c r="T43" s="48"/>
      <c r="U43" s="48">
        <v>16</v>
      </c>
      <c r="V43" s="48">
        <v>8</v>
      </c>
      <c r="W43" s="48">
        <v>0</v>
      </c>
      <c r="X43" s="48"/>
      <c r="Y43" s="48">
        <v>29</v>
      </c>
      <c r="Z43" s="48"/>
      <c r="AA43" s="48">
        <v>22</v>
      </c>
      <c r="AB43" s="93">
        <v>20</v>
      </c>
      <c r="AC43" s="48">
        <v>19</v>
      </c>
      <c r="AD43" s="48">
        <v>1</v>
      </c>
      <c r="AE43" s="48"/>
      <c r="AF43" s="48"/>
      <c r="AG43" s="48"/>
      <c r="AH43" s="96"/>
    </row>
    <row r="44" spans="2:34" ht="21.75" thickBot="1" x14ac:dyDescent="0.55000000000000004">
      <c r="B44" s="65" t="s">
        <v>9</v>
      </c>
      <c r="C44" s="49"/>
      <c r="D44" s="49">
        <v>1000</v>
      </c>
      <c r="E44" s="49"/>
      <c r="F44" s="49">
        <v>200</v>
      </c>
      <c r="G44" s="49">
        <v>200</v>
      </c>
      <c r="H44" s="49">
        <v>179</v>
      </c>
      <c r="I44" s="49"/>
      <c r="J44" s="49"/>
      <c r="K44" s="49">
        <v>1000</v>
      </c>
      <c r="L44" s="49"/>
      <c r="M44" s="49"/>
      <c r="N44" s="49"/>
      <c r="O44" s="49">
        <v>200</v>
      </c>
      <c r="P44" s="49">
        <v>941</v>
      </c>
      <c r="Q44" s="49"/>
      <c r="R44" s="49"/>
      <c r="S44" s="49">
        <v>1920</v>
      </c>
      <c r="T44" s="49"/>
      <c r="U44" s="49"/>
      <c r="V44" s="49">
        <v>200</v>
      </c>
      <c r="W44" s="49">
        <v>1021</v>
      </c>
      <c r="X44" s="49"/>
      <c r="Y44" s="49">
        <v>600</v>
      </c>
      <c r="Z44" s="49"/>
      <c r="AA44" s="49">
        <v>400</v>
      </c>
      <c r="AB44" s="49">
        <v>959</v>
      </c>
      <c r="AC44" s="49">
        <v>0</v>
      </c>
      <c r="AD44" s="49">
        <v>800</v>
      </c>
      <c r="AE44" s="49"/>
      <c r="AF44" s="49"/>
      <c r="AG44" s="49"/>
      <c r="AH44" s="50"/>
    </row>
    <row r="45" spans="2:34" ht="21.75" thickBot="1" x14ac:dyDescent="0.55000000000000004">
      <c r="B45" s="66" t="s">
        <v>14</v>
      </c>
      <c r="C45" s="51"/>
      <c r="D45" s="51">
        <f>SUM(D44+D42+D39)</f>
        <v>1077</v>
      </c>
      <c r="E45" s="51">
        <f t="shared" ref="E45:G45" si="9">SUM(E44+E42+E39)</f>
        <v>0</v>
      </c>
      <c r="F45" s="51">
        <f t="shared" si="9"/>
        <v>948</v>
      </c>
      <c r="G45" s="51">
        <f t="shared" si="9"/>
        <v>320</v>
      </c>
      <c r="H45" s="51">
        <f>SUM(H44,H42,H39)</f>
        <v>466</v>
      </c>
      <c r="I45" s="51">
        <f t="shared" ref="I45:J45" si="10">SUM(I44,I42,I39)</f>
        <v>1040</v>
      </c>
      <c r="J45" s="51">
        <f t="shared" si="10"/>
        <v>0</v>
      </c>
      <c r="K45" s="51">
        <f>K44+K42+K39</f>
        <v>3118</v>
      </c>
      <c r="L45" s="51">
        <f>L44+L42+L39</f>
        <v>0</v>
      </c>
      <c r="M45" s="51">
        <f t="shared" ref="M45:AG45" si="11">M44+M42+M39</f>
        <v>853</v>
      </c>
      <c r="N45" s="51">
        <f t="shared" si="11"/>
        <v>0</v>
      </c>
      <c r="O45" s="51">
        <f t="shared" si="11"/>
        <v>555</v>
      </c>
      <c r="P45" s="51">
        <f t="shared" si="11"/>
        <v>988</v>
      </c>
      <c r="Q45" s="51">
        <f t="shared" si="11"/>
        <v>0</v>
      </c>
      <c r="R45" s="51">
        <f t="shared" si="11"/>
        <v>0</v>
      </c>
      <c r="S45" s="51">
        <f t="shared" si="11"/>
        <v>1968</v>
      </c>
      <c r="T45" s="51">
        <f t="shared" si="11"/>
        <v>0</v>
      </c>
      <c r="U45" s="51">
        <f t="shared" si="11"/>
        <v>31</v>
      </c>
      <c r="V45" s="51">
        <f t="shared" si="11"/>
        <v>261</v>
      </c>
      <c r="W45" s="51">
        <f t="shared" si="11"/>
        <v>1033</v>
      </c>
      <c r="X45" s="51">
        <f t="shared" si="11"/>
        <v>0</v>
      </c>
      <c r="Y45" s="51">
        <f t="shared" si="11"/>
        <v>600</v>
      </c>
      <c r="Z45" s="51">
        <f t="shared" si="11"/>
        <v>0</v>
      </c>
      <c r="AA45" s="51">
        <f t="shared" si="11"/>
        <v>546</v>
      </c>
      <c r="AB45" s="51">
        <f t="shared" si="11"/>
        <v>996</v>
      </c>
      <c r="AC45" s="51">
        <f t="shared" si="11"/>
        <v>195</v>
      </c>
      <c r="AD45" s="51">
        <f t="shared" si="11"/>
        <v>878</v>
      </c>
      <c r="AE45" s="51">
        <f t="shared" si="11"/>
        <v>0</v>
      </c>
      <c r="AF45" s="51">
        <f t="shared" si="11"/>
        <v>0</v>
      </c>
      <c r="AG45" s="51">
        <f t="shared" si="11"/>
        <v>0</v>
      </c>
      <c r="AH45" s="52"/>
    </row>
    <row r="46" spans="2:34" ht="21.75" thickBot="1" x14ac:dyDescent="0.55000000000000004">
      <c r="B46" s="67" t="s">
        <v>6</v>
      </c>
      <c r="C46" s="98"/>
      <c r="D46" s="102">
        <f>10516-D37</f>
        <v>7594</v>
      </c>
      <c r="E46" s="102">
        <f>D46-E37</f>
        <v>6953</v>
      </c>
      <c r="F46" s="102">
        <f>E46-F37</f>
        <v>5562</v>
      </c>
      <c r="G46" s="102">
        <f>F46-G37</f>
        <v>5221</v>
      </c>
      <c r="H46" s="102">
        <f>G46-H37</f>
        <v>4069</v>
      </c>
      <c r="I46" s="102">
        <f>H46-I37</f>
        <v>3386</v>
      </c>
      <c r="J46" s="102">
        <f>I46+30000-J37</f>
        <v>33386</v>
      </c>
      <c r="K46" s="102">
        <f>J46-K37</f>
        <v>20428</v>
      </c>
      <c r="L46" s="102">
        <f>K46-L37</f>
        <v>20428</v>
      </c>
      <c r="M46" s="102">
        <f>L46-M37</f>
        <v>19916</v>
      </c>
      <c r="N46" s="53"/>
      <c r="O46" s="102">
        <f>19836-O37</f>
        <v>16383</v>
      </c>
      <c r="P46" s="102">
        <f>O46-P37</f>
        <v>14500</v>
      </c>
      <c r="Q46" s="102">
        <f>P46-Q37</f>
        <v>14500</v>
      </c>
      <c r="R46" s="102">
        <f>Q46-R37</f>
        <v>13841</v>
      </c>
      <c r="S46" s="102">
        <f>R46-S37</f>
        <v>12955</v>
      </c>
      <c r="T46" s="102">
        <v>12671</v>
      </c>
      <c r="U46" s="102">
        <f t="shared" ref="U46:AA46" si="12">T46-U37</f>
        <v>11476</v>
      </c>
      <c r="V46" s="79">
        <f t="shared" si="12"/>
        <v>10826</v>
      </c>
      <c r="W46" s="77">
        <f t="shared" si="12"/>
        <v>10137</v>
      </c>
      <c r="X46" s="77">
        <f t="shared" si="12"/>
        <v>10137</v>
      </c>
      <c r="Y46" s="77">
        <f t="shared" si="12"/>
        <v>8631</v>
      </c>
      <c r="Z46" s="77">
        <v>5317</v>
      </c>
      <c r="AA46" s="77">
        <f t="shared" si="12"/>
        <v>4029</v>
      </c>
      <c r="AB46" s="77">
        <f>AA46-AB37</f>
        <v>2514</v>
      </c>
      <c r="AC46" s="77">
        <f>AB46-AC37</f>
        <v>1351</v>
      </c>
      <c r="AD46" s="77">
        <f>AC46-AD37</f>
        <v>981</v>
      </c>
      <c r="AE46" s="77">
        <f t="shared" ref="AE46:AG46" si="13">AD46-AE37</f>
        <v>981</v>
      </c>
      <c r="AF46" s="77">
        <f t="shared" si="13"/>
        <v>981</v>
      </c>
      <c r="AG46" s="77">
        <f t="shared" si="13"/>
        <v>981</v>
      </c>
      <c r="AH46" s="54"/>
    </row>
    <row r="47" spans="2:34" ht="21.75" thickBot="1" x14ac:dyDescent="0.55000000000000004">
      <c r="B47" s="23" t="s">
        <v>31</v>
      </c>
      <c r="C47" s="55"/>
      <c r="D47" s="55">
        <f t="shared" ref="D47:AG47" si="14">(D38+D81+D82+D83)-D37</f>
        <v>1401</v>
      </c>
      <c r="E47" s="55">
        <f t="shared" si="14"/>
        <v>96</v>
      </c>
      <c r="F47" s="55">
        <f t="shared" si="14"/>
        <v>4060</v>
      </c>
      <c r="G47" s="55">
        <f t="shared" si="14"/>
        <v>190</v>
      </c>
      <c r="H47" s="55">
        <f>(H38+H81+H82+H83)-H37</f>
        <v>149</v>
      </c>
      <c r="I47" s="55">
        <f>(I38+I81+I82+I83)-I37</f>
        <v>157</v>
      </c>
      <c r="J47" s="55">
        <f>(J38+J81+J82+J83)-J37</f>
        <v>0</v>
      </c>
      <c r="K47" s="55">
        <f>(K38+K81+K82+K83)-K37</f>
        <v>2863</v>
      </c>
      <c r="L47" s="55">
        <f t="shared" si="14"/>
        <v>0</v>
      </c>
      <c r="M47" s="55">
        <f>(M38+M81+M82+M83)-M37</f>
        <v>35</v>
      </c>
      <c r="N47" s="55">
        <f t="shared" si="14"/>
        <v>0</v>
      </c>
      <c r="O47" s="55">
        <f t="shared" si="14"/>
        <v>240</v>
      </c>
      <c r="P47" s="55">
        <f t="shared" si="14"/>
        <v>407</v>
      </c>
      <c r="Q47" s="55">
        <f t="shared" si="14"/>
        <v>0</v>
      </c>
      <c r="R47" s="55">
        <f t="shared" si="14"/>
        <v>81</v>
      </c>
      <c r="S47" s="55">
        <f t="shared" si="14"/>
        <v>189</v>
      </c>
      <c r="T47" s="55">
        <f t="shared" si="14"/>
        <v>0</v>
      </c>
      <c r="U47" s="55">
        <f t="shared" si="14"/>
        <v>129</v>
      </c>
      <c r="V47" s="55">
        <f t="shared" si="14"/>
        <v>137</v>
      </c>
      <c r="W47" s="55">
        <f t="shared" si="14"/>
        <v>139</v>
      </c>
      <c r="X47" s="55">
        <f>(X38+X81+X82+X83)-X37</f>
        <v>0</v>
      </c>
      <c r="Y47" s="55">
        <f t="shared" si="14"/>
        <v>185</v>
      </c>
      <c r="Z47" s="55">
        <f t="shared" si="14"/>
        <v>123</v>
      </c>
      <c r="AA47" s="55">
        <f t="shared" si="14"/>
        <v>421</v>
      </c>
      <c r="AB47" s="55">
        <f t="shared" si="14"/>
        <v>654</v>
      </c>
      <c r="AC47" s="55">
        <f t="shared" si="14"/>
        <v>401</v>
      </c>
      <c r="AD47" s="55">
        <f t="shared" si="14"/>
        <v>155</v>
      </c>
      <c r="AE47" s="55">
        <f t="shared" si="14"/>
        <v>0</v>
      </c>
      <c r="AF47" s="55">
        <f t="shared" si="14"/>
        <v>0</v>
      </c>
      <c r="AG47" s="55">
        <f t="shared" si="14"/>
        <v>0</v>
      </c>
      <c r="AH47" s="56">
        <f>SUM(C47:AG47)</f>
        <v>12212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2"/>
    </row>
    <row r="50" spans="2:34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/>
      <c r="X56" s="2"/>
      <c r="Y56" s="2"/>
      <c r="Z56" s="89"/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/>
    </row>
    <row r="59" spans="2:34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118"/>
    </row>
    <row r="60" spans="2:34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/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42135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1328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12212</v>
      </c>
    </row>
    <row r="74" spans="2:34" ht="24" customHeight="1" x14ac:dyDescent="0.5">
      <c r="B74" s="19" t="s">
        <v>3</v>
      </c>
      <c r="C74" s="21">
        <f>SUM(C38:AG38)</f>
        <v>5049</v>
      </c>
    </row>
    <row r="75" spans="2:34" ht="24" customHeight="1" x14ac:dyDescent="0.5">
      <c r="B75" s="19" t="s">
        <v>4</v>
      </c>
      <c r="C75" s="21">
        <f>SUM(C37:AG37)</f>
        <v>36656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100"/>
      <c r="D81" s="100">
        <v>84</v>
      </c>
      <c r="E81" s="100">
        <v>114</v>
      </c>
      <c r="F81" s="100">
        <v>490</v>
      </c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  <c r="W81" s="101"/>
      <c r="X81" s="100"/>
      <c r="Y81" s="100"/>
      <c r="Z81" s="100">
        <v>115</v>
      </c>
      <c r="AA81" s="100">
        <v>135</v>
      </c>
      <c r="AB81" s="100">
        <v>110</v>
      </c>
      <c r="AC81" s="100">
        <v>1300</v>
      </c>
      <c r="AD81" s="100"/>
      <c r="AE81" s="100"/>
      <c r="AF81" s="100"/>
      <c r="AG81" s="100"/>
    </row>
    <row r="82" spans="2:33" x14ac:dyDescent="0.5">
      <c r="B82" s="19" t="s">
        <v>35</v>
      </c>
      <c r="C82" s="100"/>
      <c r="D82" s="100"/>
      <c r="E82" s="100">
        <v>328</v>
      </c>
      <c r="F82" s="100">
        <v>3750</v>
      </c>
      <c r="G82" s="100"/>
      <c r="H82" s="100">
        <v>225</v>
      </c>
      <c r="I82" s="100"/>
      <c r="J82" s="100"/>
      <c r="K82" s="100">
        <v>1088</v>
      </c>
      <c r="L82" s="100"/>
      <c r="M82" s="100">
        <v>160</v>
      </c>
      <c r="N82" s="100"/>
      <c r="O82" s="100">
        <v>40</v>
      </c>
      <c r="P82" s="100"/>
      <c r="Q82" s="100"/>
      <c r="R82" s="100"/>
      <c r="S82" s="100"/>
      <c r="T82" s="100"/>
      <c r="U82" s="100">
        <v>90</v>
      </c>
      <c r="V82" s="100"/>
      <c r="W82" s="100"/>
      <c r="X82" s="100"/>
      <c r="Y82" s="100"/>
      <c r="Z82" s="100">
        <v>68</v>
      </c>
      <c r="AA82" s="100"/>
      <c r="AB82" s="100"/>
      <c r="AC82" s="100">
        <v>88</v>
      </c>
      <c r="AD82" s="100">
        <v>115</v>
      </c>
      <c r="AE82" s="100"/>
      <c r="AF82" s="100"/>
      <c r="AG82" s="100"/>
    </row>
    <row r="83" spans="2:33" x14ac:dyDescent="0.5">
      <c r="B83" s="90" t="s">
        <v>41</v>
      </c>
      <c r="C83" s="99"/>
      <c r="D83" s="99">
        <v>4175</v>
      </c>
      <c r="E83" s="99">
        <v>295</v>
      </c>
      <c r="F83" s="99">
        <v>1196</v>
      </c>
      <c r="G83" s="99">
        <v>531</v>
      </c>
      <c r="H83" s="99">
        <v>209</v>
      </c>
      <c r="I83" s="99">
        <v>780</v>
      </c>
      <c r="J83" s="99"/>
      <c r="K83" s="99">
        <v>14323</v>
      </c>
      <c r="L83" s="99"/>
      <c r="M83" s="99">
        <v>284</v>
      </c>
      <c r="N83" s="99"/>
      <c r="O83" s="99">
        <v>1586</v>
      </c>
      <c r="P83" s="99">
        <v>2246</v>
      </c>
      <c r="Q83" s="99"/>
      <c r="R83" s="99">
        <v>740</v>
      </c>
      <c r="S83" s="99">
        <v>861</v>
      </c>
      <c r="T83" s="99"/>
      <c r="U83" s="99">
        <v>713</v>
      </c>
      <c r="V83" s="99">
        <v>570</v>
      </c>
      <c r="W83" s="99">
        <v>642</v>
      </c>
      <c r="X83" s="99"/>
      <c r="Y83" s="99">
        <v>1691</v>
      </c>
      <c r="Z83" s="99">
        <v>739</v>
      </c>
      <c r="AA83" s="99">
        <v>1515</v>
      </c>
      <c r="AB83" s="99">
        <v>2013</v>
      </c>
      <c r="AC83" s="99"/>
      <c r="AD83" s="99">
        <v>410</v>
      </c>
      <c r="AE83" s="99"/>
      <c r="AF83" s="99"/>
      <c r="AG83" s="99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H83"/>
  <sheetViews>
    <sheetView topLeftCell="A2" workbookViewId="0">
      <pane xSplit="2" ySplit="3" topLeftCell="P38" activePane="bottomRight" state="frozen"/>
      <selection activeCell="A2" sqref="A2"/>
      <selection pane="topRight" activeCell="C2" sqref="C2"/>
      <selection pane="bottomLeft" activeCell="A5" sqref="A5"/>
      <selection pane="bottomRight" activeCell="AD74" sqref="AD74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45717</v>
      </c>
      <c r="D4" s="27">
        <v>45718</v>
      </c>
      <c r="E4" s="27">
        <v>45719</v>
      </c>
      <c r="F4" s="27">
        <v>45720</v>
      </c>
      <c r="G4" s="27">
        <v>45721</v>
      </c>
      <c r="H4" s="27">
        <v>45722</v>
      </c>
      <c r="I4" s="27">
        <v>45723</v>
      </c>
      <c r="J4" s="27">
        <v>45724</v>
      </c>
      <c r="K4" s="27">
        <v>45725</v>
      </c>
      <c r="L4" s="27">
        <v>45726</v>
      </c>
      <c r="M4" s="27">
        <v>45727</v>
      </c>
      <c r="N4" s="27">
        <v>45728</v>
      </c>
      <c r="O4" s="27">
        <v>45729</v>
      </c>
      <c r="P4" s="27">
        <v>45730</v>
      </c>
      <c r="Q4" s="27">
        <v>45731</v>
      </c>
      <c r="R4" s="27">
        <v>45732</v>
      </c>
      <c r="S4" s="27">
        <v>45733</v>
      </c>
      <c r="T4" s="27">
        <v>45734</v>
      </c>
      <c r="U4" s="27">
        <v>45735</v>
      </c>
      <c r="V4" s="27">
        <v>45736</v>
      </c>
      <c r="W4" s="27">
        <v>45737</v>
      </c>
      <c r="X4" s="27">
        <v>45738</v>
      </c>
      <c r="Y4" s="27">
        <v>45739</v>
      </c>
      <c r="Z4" s="27">
        <v>45740</v>
      </c>
      <c r="AA4" s="27">
        <v>45741</v>
      </c>
      <c r="AB4" s="27">
        <v>45742</v>
      </c>
      <c r="AC4" s="27">
        <v>45743</v>
      </c>
      <c r="AD4" s="27">
        <v>45744</v>
      </c>
      <c r="AE4" s="27">
        <v>45745</v>
      </c>
      <c r="AF4" s="27">
        <v>45746</v>
      </c>
      <c r="AG4" s="27">
        <v>45747</v>
      </c>
      <c r="AH4" s="26" t="s">
        <v>12</v>
      </c>
    </row>
    <row r="5" spans="1:34" ht="21.75" thickBot="1" x14ac:dyDescent="0.55000000000000004">
      <c r="B5" s="58" t="s">
        <v>0</v>
      </c>
      <c r="C5" s="28">
        <f>C15</f>
        <v>0</v>
      </c>
      <c r="D5" s="28">
        <f t="shared" ref="D5:AG5" si="0">D15</f>
        <v>303</v>
      </c>
      <c r="E5" s="28">
        <f t="shared" si="0"/>
        <v>1446</v>
      </c>
      <c r="F5" s="28">
        <f t="shared" si="0"/>
        <v>3235</v>
      </c>
      <c r="G5" s="28">
        <f t="shared" si="0"/>
        <v>180</v>
      </c>
      <c r="H5" s="28">
        <f t="shared" si="0"/>
        <v>197</v>
      </c>
      <c r="I5" s="28">
        <f t="shared" si="0"/>
        <v>2709</v>
      </c>
      <c r="J5" s="28">
        <f t="shared" si="0"/>
        <v>0</v>
      </c>
      <c r="K5" s="28">
        <f t="shared" si="0"/>
        <v>3162</v>
      </c>
      <c r="L5" s="28">
        <f t="shared" si="0"/>
        <v>334</v>
      </c>
      <c r="M5" s="28">
        <f t="shared" si="0"/>
        <v>2491</v>
      </c>
      <c r="N5" s="28">
        <f t="shared" si="0"/>
        <v>1944</v>
      </c>
      <c r="O5" s="28">
        <f t="shared" si="0"/>
        <v>1155</v>
      </c>
      <c r="P5" s="28">
        <f t="shared" si="0"/>
        <v>1313</v>
      </c>
      <c r="Q5" s="28">
        <f t="shared" si="0"/>
        <v>459</v>
      </c>
      <c r="R5" s="28">
        <f t="shared" si="0"/>
        <v>0</v>
      </c>
      <c r="S5" s="28">
        <f t="shared" si="0"/>
        <v>2840</v>
      </c>
      <c r="T5" s="28">
        <f t="shared" si="0"/>
        <v>473</v>
      </c>
      <c r="U5" s="28">
        <f t="shared" si="0"/>
        <v>363</v>
      </c>
      <c r="V5" s="28">
        <f t="shared" si="0"/>
        <v>0</v>
      </c>
      <c r="W5" s="28">
        <f t="shared" si="0"/>
        <v>0</v>
      </c>
      <c r="X5" s="28">
        <f t="shared" si="0"/>
        <v>0</v>
      </c>
      <c r="Y5" s="28">
        <f t="shared" si="0"/>
        <v>0</v>
      </c>
      <c r="Z5" s="28">
        <f t="shared" si="0"/>
        <v>268</v>
      </c>
      <c r="AA5" s="28">
        <f t="shared" si="0"/>
        <v>0</v>
      </c>
      <c r="AB5" s="28">
        <f t="shared" si="0"/>
        <v>420</v>
      </c>
      <c r="AC5" s="28">
        <f t="shared" si="0"/>
        <v>1491</v>
      </c>
      <c r="AD5" s="28">
        <f t="shared" si="0"/>
        <v>1742</v>
      </c>
      <c r="AE5" s="28">
        <f t="shared" si="0"/>
        <v>0</v>
      </c>
      <c r="AF5" s="28">
        <f t="shared" si="0"/>
        <v>0</v>
      </c>
      <c r="AG5" s="28">
        <f t="shared" si="0"/>
        <v>0</v>
      </c>
      <c r="AH5" s="29">
        <f>SUM(C5:AG5)</f>
        <v>26525</v>
      </c>
    </row>
    <row r="6" spans="1:34" x14ac:dyDescent="0.5">
      <c r="B6" s="122"/>
      <c r="C6" s="83"/>
      <c r="D6" s="83" t="s">
        <v>378</v>
      </c>
      <c r="E6" s="83" t="s">
        <v>535</v>
      </c>
      <c r="F6" s="83" t="s">
        <v>537</v>
      </c>
      <c r="G6" s="83" t="s">
        <v>543</v>
      </c>
      <c r="H6" s="83" t="s">
        <v>544</v>
      </c>
      <c r="I6" s="83" t="s">
        <v>545</v>
      </c>
      <c r="J6" s="83"/>
      <c r="K6" s="83" t="s">
        <v>550</v>
      </c>
      <c r="L6" s="83" t="s">
        <v>401</v>
      </c>
      <c r="M6" s="83" t="s">
        <v>556</v>
      </c>
      <c r="N6" s="83" t="s">
        <v>559</v>
      </c>
      <c r="O6" s="83" t="s">
        <v>568</v>
      </c>
      <c r="P6" s="83" t="s">
        <v>569</v>
      </c>
      <c r="Q6" s="83" t="s">
        <v>573</v>
      </c>
      <c r="R6" s="83"/>
      <c r="S6" s="83" t="s">
        <v>575</v>
      </c>
      <c r="T6" s="83" t="s">
        <v>583</v>
      </c>
      <c r="U6" s="83" t="s">
        <v>585</v>
      </c>
      <c r="V6" s="83"/>
      <c r="W6" s="83"/>
      <c r="X6" s="83"/>
      <c r="Y6" s="83"/>
      <c r="Z6" s="83" t="s">
        <v>586</v>
      </c>
      <c r="AA6" s="83"/>
      <c r="AB6" s="83" t="s">
        <v>543</v>
      </c>
      <c r="AC6" s="83" t="s">
        <v>589</v>
      </c>
      <c r="AD6" s="83" t="s">
        <v>592</v>
      </c>
      <c r="AE6" s="83"/>
      <c r="AF6" s="83"/>
      <c r="AG6" s="83"/>
      <c r="AH6" s="123"/>
    </row>
    <row r="7" spans="1:34" x14ac:dyDescent="0.5">
      <c r="B7" s="122"/>
      <c r="C7" s="84"/>
      <c r="D7" s="84" t="s">
        <v>534</v>
      </c>
      <c r="E7" s="84" t="s">
        <v>536</v>
      </c>
      <c r="F7" s="84" t="s">
        <v>538</v>
      </c>
      <c r="G7" s="84"/>
      <c r="H7" s="84"/>
      <c r="I7" s="84" t="s">
        <v>546</v>
      </c>
      <c r="J7" s="84"/>
      <c r="K7" s="84" t="s">
        <v>551</v>
      </c>
      <c r="L7" s="84" t="s">
        <v>555</v>
      </c>
      <c r="M7" s="84" t="s">
        <v>557</v>
      </c>
      <c r="N7" s="84" t="s">
        <v>560</v>
      </c>
      <c r="O7" s="84" t="s">
        <v>564</v>
      </c>
      <c r="P7" s="84" t="s">
        <v>405</v>
      </c>
      <c r="Q7" s="84" t="s">
        <v>574</v>
      </c>
      <c r="R7" s="84"/>
      <c r="S7" s="84" t="s">
        <v>576</v>
      </c>
      <c r="T7" s="84" t="s">
        <v>584</v>
      </c>
      <c r="U7" s="84"/>
      <c r="V7" s="84"/>
      <c r="W7" s="84"/>
      <c r="X7" s="84"/>
      <c r="Y7" s="84"/>
      <c r="Z7" s="84"/>
      <c r="AA7" s="84"/>
      <c r="AB7" s="84" t="s">
        <v>587</v>
      </c>
      <c r="AC7" s="84" t="s">
        <v>590</v>
      </c>
      <c r="AD7" s="84" t="s">
        <v>593</v>
      </c>
      <c r="AE7" s="84"/>
      <c r="AF7" s="84"/>
      <c r="AG7" s="84"/>
      <c r="AH7" s="123"/>
    </row>
    <row r="8" spans="1:34" x14ac:dyDescent="0.5">
      <c r="B8" s="122"/>
      <c r="C8" s="84"/>
      <c r="D8" s="84"/>
      <c r="E8" s="84"/>
      <c r="F8" s="84" t="s">
        <v>542</v>
      </c>
      <c r="G8" s="84"/>
      <c r="H8" s="84"/>
      <c r="I8" s="84" t="s">
        <v>547</v>
      </c>
      <c r="J8" s="84"/>
      <c r="K8" s="84" t="s">
        <v>552</v>
      </c>
      <c r="L8" s="84"/>
      <c r="M8" s="84" t="s">
        <v>558</v>
      </c>
      <c r="N8" s="84" t="s">
        <v>561</v>
      </c>
      <c r="O8" s="84" t="s">
        <v>565</v>
      </c>
      <c r="P8" s="84" t="s">
        <v>570</v>
      </c>
      <c r="Q8" s="84"/>
      <c r="R8" s="84"/>
      <c r="S8" s="84" t="s">
        <v>577</v>
      </c>
      <c r="T8" s="84"/>
      <c r="U8" s="84"/>
      <c r="V8" s="84"/>
      <c r="W8" s="84"/>
      <c r="X8" s="84"/>
      <c r="Y8" s="84"/>
      <c r="Z8" s="84"/>
      <c r="AA8" s="84"/>
      <c r="AB8" s="84" t="s">
        <v>588</v>
      </c>
      <c r="AC8" s="84" t="s">
        <v>591</v>
      </c>
      <c r="AD8" s="84" t="s">
        <v>594</v>
      </c>
      <c r="AE8" s="84"/>
      <c r="AF8" s="84"/>
      <c r="AG8" s="84"/>
      <c r="AH8" s="123"/>
    </row>
    <row r="9" spans="1:34" x14ac:dyDescent="0.5">
      <c r="B9" s="122"/>
      <c r="C9" s="84"/>
      <c r="D9" s="84"/>
      <c r="E9" s="84"/>
      <c r="F9" s="84" t="s">
        <v>539</v>
      </c>
      <c r="G9" s="84"/>
      <c r="H9" s="84"/>
      <c r="I9" s="84" t="s">
        <v>548</v>
      </c>
      <c r="J9" s="84"/>
      <c r="K9" s="84" t="s">
        <v>553</v>
      </c>
      <c r="L9" s="84"/>
      <c r="M9" s="84"/>
      <c r="N9" s="84" t="s">
        <v>562</v>
      </c>
      <c r="O9" s="84" t="s">
        <v>566</v>
      </c>
      <c r="P9" s="84" t="s">
        <v>571</v>
      </c>
      <c r="Q9" s="84"/>
      <c r="R9" s="84"/>
      <c r="S9" s="84" t="s">
        <v>578</v>
      </c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123"/>
    </row>
    <row r="10" spans="1:34" x14ac:dyDescent="0.5">
      <c r="B10" s="122"/>
      <c r="C10" s="84"/>
      <c r="D10" s="84"/>
      <c r="E10" s="84"/>
      <c r="F10" s="84" t="s">
        <v>541</v>
      </c>
      <c r="G10" s="84"/>
      <c r="H10" s="84"/>
      <c r="I10" s="84" t="s">
        <v>549</v>
      </c>
      <c r="J10" s="84"/>
      <c r="K10" s="84" t="s">
        <v>554</v>
      </c>
      <c r="L10" s="84"/>
      <c r="M10" s="84"/>
      <c r="N10" s="84" t="s">
        <v>563</v>
      </c>
      <c r="O10" s="84" t="s">
        <v>567</v>
      </c>
      <c r="P10" s="84" t="s">
        <v>572</v>
      </c>
      <c r="Q10" s="84"/>
      <c r="R10" s="84"/>
      <c r="S10" s="84" t="s">
        <v>579</v>
      </c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123"/>
    </row>
    <row r="11" spans="1:34" x14ac:dyDescent="0.5">
      <c r="B11" s="122"/>
      <c r="C11" s="84"/>
      <c r="D11" s="84"/>
      <c r="E11" s="84"/>
      <c r="F11" s="84" t="s">
        <v>540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 t="s">
        <v>580</v>
      </c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 t="s">
        <v>582</v>
      </c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0</v>
      </c>
      <c r="D15" s="31">
        <f t="shared" ref="D15:AG15" si="1">SUM(D16:D22)</f>
        <v>303</v>
      </c>
      <c r="E15" s="31">
        <f t="shared" si="1"/>
        <v>1446</v>
      </c>
      <c r="F15" s="31">
        <f t="shared" si="1"/>
        <v>3235</v>
      </c>
      <c r="G15" s="31">
        <f t="shared" si="1"/>
        <v>180</v>
      </c>
      <c r="H15" s="31">
        <f t="shared" si="1"/>
        <v>197</v>
      </c>
      <c r="I15" s="31">
        <f t="shared" si="1"/>
        <v>2709</v>
      </c>
      <c r="J15" s="31">
        <f t="shared" si="1"/>
        <v>0</v>
      </c>
      <c r="K15" s="31">
        <f t="shared" si="1"/>
        <v>3162</v>
      </c>
      <c r="L15" s="31">
        <f t="shared" si="1"/>
        <v>334</v>
      </c>
      <c r="M15" s="31">
        <f t="shared" si="1"/>
        <v>2491</v>
      </c>
      <c r="N15" s="31">
        <f t="shared" si="1"/>
        <v>1944</v>
      </c>
      <c r="O15" s="31">
        <f t="shared" si="1"/>
        <v>1155</v>
      </c>
      <c r="P15" s="31">
        <f t="shared" si="1"/>
        <v>1313</v>
      </c>
      <c r="Q15" s="31">
        <f t="shared" si="1"/>
        <v>459</v>
      </c>
      <c r="R15" s="31">
        <f t="shared" si="1"/>
        <v>0</v>
      </c>
      <c r="S15" s="31">
        <f t="shared" si="1"/>
        <v>2840</v>
      </c>
      <c r="T15" s="31">
        <f t="shared" si="1"/>
        <v>473</v>
      </c>
      <c r="U15" s="31">
        <f t="shared" si="1"/>
        <v>363</v>
      </c>
      <c r="V15" s="31">
        <f t="shared" si="1"/>
        <v>0</v>
      </c>
      <c r="W15" s="31"/>
      <c r="X15" s="31">
        <f t="shared" si="1"/>
        <v>0</v>
      </c>
      <c r="Y15" s="31">
        <f t="shared" si="1"/>
        <v>0</v>
      </c>
      <c r="Z15" s="31">
        <f t="shared" si="1"/>
        <v>268</v>
      </c>
      <c r="AA15" s="31">
        <f t="shared" si="1"/>
        <v>0</v>
      </c>
      <c r="AB15" s="31">
        <f t="shared" si="1"/>
        <v>420</v>
      </c>
      <c r="AC15" s="31">
        <f t="shared" si="1"/>
        <v>1491</v>
      </c>
      <c r="AD15" s="31">
        <f t="shared" si="1"/>
        <v>1742</v>
      </c>
      <c r="AE15" s="31">
        <f t="shared" si="1"/>
        <v>0</v>
      </c>
      <c r="AF15" s="31">
        <f t="shared" si="1"/>
        <v>0</v>
      </c>
      <c r="AG15" s="31">
        <f t="shared" si="1"/>
        <v>0</v>
      </c>
      <c r="AH15" s="32">
        <f>SUM(C15:AG15)</f>
        <v>26525</v>
      </c>
    </row>
    <row r="16" spans="1:34" x14ac:dyDescent="0.5">
      <c r="B16" s="60" t="s">
        <v>18</v>
      </c>
      <c r="C16" s="30"/>
      <c r="D16" s="30">
        <v>33</v>
      </c>
      <c r="E16" s="30">
        <v>185</v>
      </c>
      <c r="F16" s="30">
        <v>96</v>
      </c>
      <c r="G16" s="30"/>
      <c r="H16" s="30"/>
      <c r="I16" s="30">
        <v>119</v>
      </c>
      <c r="J16" s="30"/>
      <c r="K16" s="30">
        <v>1111</v>
      </c>
      <c r="L16" s="30"/>
      <c r="M16" s="30"/>
      <c r="N16" s="30">
        <v>764</v>
      </c>
      <c r="O16" s="30">
        <v>790</v>
      </c>
      <c r="P16" s="30">
        <v>610</v>
      </c>
      <c r="Q16" s="30"/>
      <c r="R16" s="30"/>
      <c r="S16" s="30">
        <v>1396</v>
      </c>
      <c r="T16" s="30"/>
      <c r="U16" s="30">
        <v>363</v>
      </c>
      <c r="V16" s="30"/>
      <c r="W16" s="30"/>
      <c r="X16" s="30"/>
      <c r="Y16" s="30"/>
      <c r="Z16" s="30">
        <v>268</v>
      </c>
      <c r="AA16" s="30"/>
      <c r="AB16" s="30">
        <v>240</v>
      </c>
      <c r="AC16" s="30">
        <v>906</v>
      </c>
      <c r="AD16" s="30"/>
      <c r="AE16" s="30"/>
      <c r="AF16" s="30"/>
      <c r="AG16" s="30"/>
      <c r="AH16" s="10"/>
    </row>
    <row r="17" spans="2:34" x14ac:dyDescent="0.5">
      <c r="B17" s="61" t="s">
        <v>19</v>
      </c>
      <c r="C17" s="22"/>
      <c r="D17" s="22"/>
      <c r="E17" s="22"/>
      <c r="F17" s="22"/>
      <c r="G17" s="22"/>
      <c r="H17" s="22"/>
      <c r="I17" s="22">
        <v>75</v>
      </c>
      <c r="J17" s="22"/>
      <c r="K17" s="22"/>
      <c r="L17" s="22"/>
      <c r="M17" s="22">
        <v>339</v>
      </c>
      <c r="N17" s="22"/>
      <c r="O17" s="22"/>
      <c r="P17" s="22"/>
      <c r="Q17" s="22"/>
      <c r="R17" s="22"/>
      <c r="S17" s="22" t="s">
        <v>581</v>
      </c>
      <c r="T17" s="22"/>
      <c r="U17" s="22"/>
      <c r="V17" s="22"/>
      <c r="W17" s="22"/>
      <c r="X17" s="22"/>
      <c r="Y17" s="22"/>
      <c r="Z17" s="22"/>
      <c r="AA17" s="22"/>
      <c r="AB17" s="22"/>
      <c r="AC17" s="22">
        <v>470</v>
      </c>
      <c r="AD17" s="22">
        <v>1620</v>
      </c>
      <c r="AE17" s="22"/>
      <c r="AF17" s="22"/>
      <c r="AG17" s="22"/>
      <c r="AH17" s="10"/>
    </row>
    <row r="18" spans="2:34" x14ac:dyDescent="0.5">
      <c r="B18" s="61" t="s">
        <v>20</v>
      </c>
      <c r="C18" s="22"/>
      <c r="D18" s="22">
        <v>270</v>
      </c>
      <c r="E18" s="22"/>
      <c r="F18" s="22">
        <v>2702</v>
      </c>
      <c r="G18" s="22">
        <v>180</v>
      </c>
      <c r="H18" s="22">
        <v>197</v>
      </c>
      <c r="I18" s="22">
        <v>2515</v>
      </c>
      <c r="J18" s="22"/>
      <c r="K18" s="22">
        <v>990</v>
      </c>
      <c r="L18" s="22">
        <v>334</v>
      </c>
      <c r="M18" s="22"/>
      <c r="N18" s="22">
        <v>1135</v>
      </c>
      <c r="O18" s="22">
        <v>140</v>
      </c>
      <c r="P18" s="22">
        <v>360</v>
      </c>
      <c r="Q18" s="22">
        <v>259</v>
      </c>
      <c r="R18" s="22"/>
      <c r="S18" s="22">
        <v>1444</v>
      </c>
      <c r="T18" s="22">
        <v>358</v>
      </c>
      <c r="U18" s="22"/>
      <c r="V18" s="22"/>
      <c r="W18" s="22"/>
      <c r="X18" s="22"/>
      <c r="Y18" s="22"/>
      <c r="Z18" s="22"/>
      <c r="AA18" s="22"/>
      <c r="AB18" s="22">
        <v>180</v>
      </c>
      <c r="AC18" s="22"/>
      <c r="AD18" s="22"/>
      <c r="AE18" s="22"/>
      <c r="AF18" s="22"/>
      <c r="AG18" s="22"/>
      <c r="AH18" s="10"/>
    </row>
    <row r="19" spans="2:34" x14ac:dyDescent="0.5">
      <c r="B19" s="61" t="s">
        <v>21</v>
      </c>
      <c r="C19" s="22"/>
      <c r="D19" s="22"/>
      <c r="E19" s="22">
        <v>1261</v>
      </c>
      <c r="F19" s="22"/>
      <c r="G19" s="22"/>
      <c r="H19" s="22"/>
      <c r="I19" s="22"/>
      <c r="J19" s="22"/>
      <c r="K19" s="22">
        <v>784</v>
      </c>
      <c r="L19" s="22"/>
      <c r="M19" s="22"/>
      <c r="N19" s="22"/>
      <c r="O19" s="22">
        <v>225</v>
      </c>
      <c r="P19" s="22">
        <v>343</v>
      </c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22</v>
      </c>
      <c r="C20" s="22"/>
      <c r="D20" s="22"/>
      <c r="E20" s="22"/>
      <c r="F20" s="22"/>
      <c r="G20" s="22"/>
      <c r="H20" s="22"/>
      <c r="I20" s="22"/>
      <c r="J20" s="22"/>
      <c r="K20" s="22">
        <v>62</v>
      </c>
      <c r="L20" s="22"/>
      <c r="M20" s="22">
        <v>2080</v>
      </c>
      <c r="N20" s="22">
        <v>45</v>
      </c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>
        <v>42</v>
      </c>
      <c r="AE20" s="22"/>
      <c r="AF20" s="22"/>
      <c r="AG20" s="22"/>
      <c r="AH20" s="10"/>
    </row>
    <row r="21" spans="2:34" x14ac:dyDescent="0.5">
      <c r="B21" s="61" t="s">
        <v>32</v>
      </c>
      <c r="C21" s="22"/>
      <c r="D21" s="22"/>
      <c r="E21" s="22"/>
      <c r="F21" s="22">
        <v>156</v>
      </c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>
        <v>115</v>
      </c>
      <c r="U21" s="22"/>
      <c r="V21" s="22"/>
      <c r="W21" s="22"/>
      <c r="X21" s="22"/>
      <c r="Y21" s="22"/>
      <c r="Z21" s="22"/>
      <c r="AA21" s="22"/>
      <c r="AB21" s="22"/>
      <c r="AC21" s="22">
        <v>115</v>
      </c>
      <c r="AD21" s="22">
        <v>80</v>
      </c>
      <c r="AE21" s="22"/>
      <c r="AF21" s="22"/>
      <c r="AG21" s="22"/>
      <c r="AH21" s="10"/>
    </row>
    <row r="22" spans="2:34" ht="21.75" thickBot="1" x14ac:dyDescent="0.55000000000000004">
      <c r="B22" s="62" t="s">
        <v>33</v>
      </c>
      <c r="C22" s="33"/>
      <c r="D22" s="33"/>
      <c r="E22" s="33"/>
      <c r="F22" s="33">
        <v>281</v>
      </c>
      <c r="G22" s="33"/>
      <c r="H22" s="33"/>
      <c r="I22" s="33"/>
      <c r="J22" s="33"/>
      <c r="K22" s="33">
        <v>215</v>
      </c>
      <c r="L22" s="33"/>
      <c r="M22" s="33">
        <v>72</v>
      </c>
      <c r="N22" s="33"/>
      <c r="O22" s="33"/>
      <c r="P22" s="33"/>
      <c r="Q22" s="33">
        <v>200</v>
      </c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0</v>
      </c>
      <c r="D23" s="37">
        <f t="shared" ref="D23:AG23" si="2">SUM(D24:D36)</f>
        <v>131</v>
      </c>
      <c r="E23" s="37">
        <f t="shared" si="2"/>
        <v>32</v>
      </c>
      <c r="F23" s="37">
        <f t="shared" si="2"/>
        <v>35</v>
      </c>
      <c r="G23" s="37">
        <f t="shared" si="2"/>
        <v>10</v>
      </c>
      <c r="H23" s="37">
        <f t="shared" si="2"/>
        <v>0</v>
      </c>
      <c r="I23" s="37">
        <f t="shared" si="2"/>
        <v>110</v>
      </c>
      <c r="J23" s="37">
        <f t="shared" si="2"/>
        <v>0</v>
      </c>
      <c r="K23" s="37">
        <f t="shared" si="2"/>
        <v>173</v>
      </c>
      <c r="L23" s="37">
        <f t="shared" si="2"/>
        <v>50</v>
      </c>
      <c r="M23" s="37">
        <f t="shared" si="2"/>
        <v>22</v>
      </c>
      <c r="N23" s="37">
        <f t="shared" si="2"/>
        <v>147</v>
      </c>
      <c r="O23" s="37">
        <f t="shared" si="2"/>
        <v>144</v>
      </c>
      <c r="P23" s="37">
        <f t="shared" si="2"/>
        <v>75</v>
      </c>
      <c r="Q23" s="37">
        <f t="shared" si="2"/>
        <v>5</v>
      </c>
      <c r="R23" s="37">
        <f t="shared" si="2"/>
        <v>0</v>
      </c>
      <c r="S23" s="37">
        <f t="shared" si="2"/>
        <v>30</v>
      </c>
      <c r="T23" s="37">
        <f t="shared" si="2"/>
        <v>330</v>
      </c>
      <c r="U23" s="37">
        <f t="shared" si="2"/>
        <v>130</v>
      </c>
      <c r="V23" s="37">
        <f t="shared" si="2"/>
        <v>0</v>
      </c>
      <c r="W23" s="37">
        <f t="shared" si="2"/>
        <v>0</v>
      </c>
      <c r="X23" s="37">
        <f t="shared" si="2"/>
        <v>0</v>
      </c>
      <c r="Y23" s="37">
        <f t="shared" si="2"/>
        <v>0</v>
      </c>
      <c r="Z23" s="37">
        <f t="shared" si="2"/>
        <v>160</v>
      </c>
      <c r="AA23" s="37">
        <f t="shared" si="2"/>
        <v>0</v>
      </c>
      <c r="AB23" s="37">
        <f t="shared" si="2"/>
        <v>0</v>
      </c>
      <c r="AC23" s="37">
        <f t="shared" si="2"/>
        <v>86</v>
      </c>
      <c r="AD23" s="37">
        <f t="shared" si="2"/>
        <v>0</v>
      </c>
      <c r="AE23" s="37">
        <f t="shared" si="2"/>
        <v>0</v>
      </c>
      <c r="AF23" s="37">
        <f t="shared" si="2"/>
        <v>0</v>
      </c>
      <c r="AG23" s="37">
        <f t="shared" si="2"/>
        <v>0</v>
      </c>
      <c r="AH23" s="38">
        <f>SUM(C23:AG23)</f>
        <v>1670</v>
      </c>
    </row>
    <row r="24" spans="2:34" x14ac:dyDescent="0.5">
      <c r="B24" s="35" t="s">
        <v>24</v>
      </c>
      <c r="C24" s="36"/>
      <c r="D24" s="36">
        <v>26</v>
      </c>
      <c r="E24" s="36"/>
      <c r="F24" s="36">
        <v>5</v>
      </c>
      <c r="G24" s="36"/>
      <c r="H24" s="36"/>
      <c r="I24" s="36">
        <v>5</v>
      </c>
      <c r="J24" s="36"/>
      <c r="K24" s="36"/>
      <c r="L24" s="36"/>
      <c r="M24" s="36"/>
      <c r="N24" s="36"/>
      <c r="O24" s="36">
        <v>5</v>
      </c>
      <c r="P24" s="36"/>
      <c r="Q24" s="36">
        <v>5</v>
      </c>
      <c r="R24" s="36"/>
      <c r="S24" s="36"/>
      <c r="T24" s="36"/>
      <c r="U24" s="36">
        <v>6</v>
      </c>
      <c r="V24" s="36"/>
      <c r="W24" s="36"/>
      <c r="X24" s="36"/>
      <c r="Y24" s="36"/>
      <c r="Z24" s="36"/>
      <c r="AA24" s="36"/>
      <c r="AB24" s="36"/>
      <c r="AC24" s="36">
        <v>6</v>
      </c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/>
      <c r="E25" s="8"/>
      <c r="F25" s="8"/>
      <c r="G25" s="8"/>
      <c r="H25" s="8"/>
      <c r="I25" s="8">
        <v>50</v>
      </c>
      <c r="J25" s="8"/>
      <c r="K25" s="8"/>
      <c r="L25" s="8">
        <v>50</v>
      </c>
      <c r="M25" s="8"/>
      <c r="N25" s="8"/>
      <c r="O25" s="8">
        <v>55</v>
      </c>
      <c r="P25" s="8">
        <v>43</v>
      </c>
      <c r="Q25" s="8"/>
      <c r="R25" s="8"/>
      <c r="S25" s="8"/>
      <c r="T25" s="8"/>
      <c r="U25" s="8">
        <v>7</v>
      </c>
      <c r="V25" s="8"/>
      <c r="W25" s="8"/>
      <c r="X25" s="8"/>
      <c r="Y25" s="8"/>
      <c r="Z25" s="8"/>
      <c r="AA25" s="8"/>
      <c r="AB25" s="8"/>
      <c r="AC25" s="8">
        <v>50</v>
      </c>
      <c r="AD25" s="8"/>
      <c r="AE25" s="8"/>
      <c r="AF25" s="8"/>
      <c r="AG25" s="8"/>
      <c r="AH25" s="6"/>
    </row>
    <row r="26" spans="2:34" x14ac:dyDescent="0.5">
      <c r="B26" s="11" t="s">
        <v>26</v>
      </c>
      <c r="C26" s="8"/>
      <c r="D26" s="8"/>
      <c r="E26" s="8">
        <v>32</v>
      </c>
      <c r="F26" s="8">
        <v>30</v>
      </c>
      <c r="G26" s="8"/>
      <c r="H26" s="8"/>
      <c r="I26" s="8">
        <v>50</v>
      </c>
      <c r="J26" s="8"/>
      <c r="K26" s="8">
        <v>13</v>
      </c>
      <c r="L26" s="8"/>
      <c r="M26" s="8">
        <v>5</v>
      </c>
      <c r="N26" s="8"/>
      <c r="O26" s="8"/>
      <c r="P26" s="8">
        <v>27</v>
      </c>
      <c r="Q26" s="8"/>
      <c r="R26" s="8"/>
      <c r="S26" s="8">
        <v>30</v>
      </c>
      <c r="T26" s="8"/>
      <c r="U26" s="8"/>
      <c r="V26" s="8"/>
      <c r="W26" s="8"/>
      <c r="X26" s="8"/>
      <c r="Y26" s="8"/>
      <c r="Z26" s="8"/>
      <c r="AA26" s="8"/>
      <c r="AB26" s="8"/>
      <c r="AC26" s="8">
        <v>30</v>
      </c>
      <c r="AD26" s="8"/>
      <c r="AE26" s="8"/>
      <c r="AF26" s="8"/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/>
      <c r="H27" s="8"/>
      <c r="I27" s="8"/>
      <c r="J27" s="8"/>
      <c r="K27" s="8">
        <v>160</v>
      </c>
      <c r="L27" s="8"/>
      <c r="M27" s="8"/>
      <c r="N27" s="8"/>
      <c r="O27" s="8">
        <v>75</v>
      </c>
      <c r="P27" s="8"/>
      <c r="Q27" s="8"/>
      <c r="R27" s="8"/>
      <c r="S27" s="8"/>
      <c r="T27" s="8"/>
      <c r="U27" s="8"/>
      <c r="V27" s="8"/>
      <c r="W27" s="8"/>
      <c r="X27" s="8"/>
      <c r="Y27" s="8"/>
      <c r="Z27" s="8">
        <v>160</v>
      </c>
      <c r="AA27" s="8"/>
      <c r="AB27" s="8"/>
      <c r="AC27" s="8"/>
      <c r="AD27" s="8"/>
      <c r="AE27" s="8"/>
      <c r="AF27" s="8"/>
      <c r="AG27" s="8"/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>
        <v>53</v>
      </c>
      <c r="O28" s="8">
        <v>9</v>
      </c>
      <c r="P28" s="8"/>
      <c r="Q28" s="8"/>
      <c r="R28" s="8"/>
      <c r="S28" s="8"/>
      <c r="T28" s="8"/>
      <c r="U28" s="8">
        <v>17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>
        <v>10</v>
      </c>
      <c r="O29" s="8"/>
      <c r="P29" s="8">
        <v>5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>
        <v>5</v>
      </c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>
        <v>79</v>
      </c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>
        <v>20</v>
      </c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>
        <v>5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>
        <v>60</v>
      </c>
      <c r="U33" s="8">
        <v>30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>
        <v>25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>
        <v>100</v>
      </c>
      <c r="U34" s="8">
        <v>20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6"/>
    </row>
    <row r="35" spans="2:34" x14ac:dyDescent="0.5">
      <c r="B35" s="11" t="s">
        <v>48</v>
      </c>
      <c r="C35" s="8"/>
      <c r="D35" s="8">
        <v>75</v>
      </c>
      <c r="E35" s="8"/>
      <c r="F35" s="8"/>
      <c r="G35" s="8">
        <v>10</v>
      </c>
      <c r="H35" s="8"/>
      <c r="I35" s="8">
        <v>5</v>
      </c>
      <c r="J35" s="8"/>
      <c r="K35" s="8"/>
      <c r="L35" s="8"/>
      <c r="M35" s="8">
        <v>7</v>
      </c>
      <c r="N35" s="8"/>
      <c r="O35" s="8"/>
      <c r="P35" s="8"/>
      <c r="Q35" s="8"/>
      <c r="R35" s="8"/>
      <c r="S35" s="8"/>
      <c r="T35" s="8">
        <v>150</v>
      </c>
      <c r="U35" s="8">
        <v>50</v>
      </c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>
        <v>10</v>
      </c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/>
      <c r="D37" s="44">
        <v>229</v>
      </c>
      <c r="E37" s="44">
        <v>986</v>
      </c>
      <c r="F37" s="110">
        <v>5521</v>
      </c>
      <c r="G37" s="110">
        <v>140</v>
      </c>
      <c r="H37" s="110">
        <v>2622</v>
      </c>
      <c r="I37" s="110">
        <v>2409</v>
      </c>
      <c r="J37" s="110"/>
      <c r="K37" s="110">
        <v>1691</v>
      </c>
      <c r="L37" s="110">
        <v>443</v>
      </c>
      <c r="M37" s="110">
        <v>1807</v>
      </c>
      <c r="N37" s="110">
        <v>5113</v>
      </c>
      <c r="O37" s="110">
        <v>1440</v>
      </c>
      <c r="P37" s="110">
        <v>3413</v>
      </c>
      <c r="Q37" s="110">
        <v>544</v>
      </c>
      <c r="R37" s="110"/>
      <c r="S37" s="110">
        <v>2566</v>
      </c>
      <c r="T37" s="110">
        <v>547</v>
      </c>
      <c r="U37" s="110">
        <v>272</v>
      </c>
      <c r="V37" s="44"/>
      <c r="W37" s="44"/>
      <c r="X37" s="110"/>
      <c r="Y37" s="110"/>
      <c r="Z37" s="110"/>
      <c r="AA37" s="110"/>
      <c r="AB37" s="110">
        <v>1624</v>
      </c>
      <c r="AC37" s="44">
        <v>94</v>
      </c>
      <c r="AD37" s="44">
        <v>2705</v>
      </c>
      <c r="AE37" s="44"/>
      <c r="AF37" s="44"/>
      <c r="AG37" s="44"/>
      <c r="AH37" s="46">
        <f>SUM(C37:AG37)</f>
        <v>34166</v>
      </c>
    </row>
    <row r="38" spans="2:34" x14ac:dyDescent="0.5">
      <c r="B38" s="42" t="s">
        <v>3</v>
      </c>
      <c r="C38" s="43"/>
      <c r="D38" s="43"/>
      <c r="E38" s="43">
        <v>15</v>
      </c>
      <c r="F38" s="88">
        <v>2664</v>
      </c>
      <c r="G38" s="88">
        <v>0</v>
      </c>
      <c r="H38" s="88">
        <v>2225</v>
      </c>
      <c r="I38" s="43">
        <v>142</v>
      </c>
      <c r="J38" s="43"/>
      <c r="K38" s="43">
        <v>51</v>
      </c>
      <c r="L38" s="43">
        <v>221</v>
      </c>
      <c r="M38" s="43">
        <v>113</v>
      </c>
      <c r="N38" s="88">
        <v>3762</v>
      </c>
      <c r="O38" s="43">
        <v>825</v>
      </c>
      <c r="P38" s="88">
        <v>2763</v>
      </c>
      <c r="Q38" s="43">
        <v>262</v>
      </c>
      <c r="R38" s="43"/>
      <c r="S38" s="43">
        <v>294</v>
      </c>
      <c r="T38" s="88">
        <v>0</v>
      </c>
      <c r="U38" s="43"/>
      <c r="V38" s="88"/>
      <c r="W38" s="43"/>
      <c r="X38" s="43"/>
      <c r="Y38" s="43"/>
      <c r="Z38" s="88"/>
      <c r="AA38" s="88"/>
      <c r="AB38" s="43"/>
      <c r="AC38" s="95"/>
      <c r="AD38" s="95">
        <v>2530</v>
      </c>
      <c r="AE38" s="95"/>
      <c r="AF38" s="95"/>
      <c r="AG38" s="95"/>
      <c r="AH38" s="7"/>
    </row>
    <row r="39" spans="2:34" x14ac:dyDescent="0.5">
      <c r="B39" s="15" t="s">
        <v>10</v>
      </c>
      <c r="C39" s="9"/>
      <c r="D39" s="9"/>
      <c r="E39" s="9">
        <v>0</v>
      </c>
      <c r="F39" s="9">
        <v>320</v>
      </c>
      <c r="G39" s="9">
        <v>0</v>
      </c>
      <c r="H39" s="9">
        <v>401</v>
      </c>
      <c r="I39" s="9">
        <v>23</v>
      </c>
      <c r="J39" s="9"/>
      <c r="K39" s="9">
        <v>20</v>
      </c>
      <c r="L39" s="9">
        <v>100</v>
      </c>
      <c r="M39" s="9">
        <v>43</v>
      </c>
      <c r="N39" s="9">
        <v>100</v>
      </c>
      <c r="O39" s="9">
        <v>128</v>
      </c>
      <c r="P39" s="9">
        <v>69</v>
      </c>
      <c r="Q39" s="9">
        <v>57</v>
      </c>
      <c r="R39" s="9"/>
      <c r="S39" s="9">
        <v>46</v>
      </c>
      <c r="T39" s="9">
        <v>0</v>
      </c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14"/>
    </row>
    <row r="40" spans="2:34" x14ac:dyDescent="0.5">
      <c r="B40" s="15" t="s">
        <v>11</v>
      </c>
      <c r="C40" s="9"/>
      <c r="D40" s="9"/>
      <c r="E40" s="9">
        <v>0</v>
      </c>
      <c r="F40" s="9">
        <v>68</v>
      </c>
      <c r="G40" s="9">
        <v>0</v>
      </c>
      <c r="H40" s="9">
        <v>35</v>
      </c>
      <c r="I40" s="9">
        <v>3</v>
      </c>
      <c r="J40" s="9"/>
      <c r="K40" s="9">
        <v>1</v>
      </c>
      <c r="L40" s="9">
        <v>7</v>
      </c>
      <c r="M40" s="9">
        <v>2</v>
      </c>
      <c r="N40" s="9">
        <v>76</v>
      </c>
      <c r="O40" s="9">
        <v>14</v>
      </c>
      <c r="P40" s="9">
        <v>55</v>
      </c>
      <c r="Q40" s="9">
        <v>7</v>
      </c>
      <c r="R40" s="9"/>
      <c r="S40" s="9">
        <v>8</v>
      </c>
      <c r="T40" s="9">
        <v>0</v>
      </c>
      <c r="U40" s="9"/>
      <c r="V40" s="9"/>
      <c r="W40" s="9"/>
      <c r="X40" s="9"/>
      <c r="Y40" s="9"/>
      <c r="Z40" s="9"/>
      <c r="AA40" s="9"/>
      <c r="AB40" s="9"/>
      <c r="AC40" s="9"/>
      <c r="AD40" s="9">
        <v>57</v>
      </c>
      <c r="AE40" s="9"/>
      <c r="AF40" s="9"/>
      <c r="AG40" s="9"/>
      <c r="AH40" s="7"/>
    </row>
    <row r="41" spans="2:34" x14ac:dyDescent="0.5">
      <c r="B41" s="16" t="s">
        <v>5</v>
      </c>
      <c r="C41" s="97">
        <f>SUM(C37-C38)</f>
        <v>0</v>
      </c>
      <c r="D41" s="97">
        <f t="shared" ref="D41:AG41" si="3">SUM(D37-D38)</f>
        <v>229</v>
      </c>
      <c r="E41" s="97">
        <f t="shared" si="3"/>
        <v>971</v>
      </c>
      <c r="F41" s="97">
        <f t="shared" si="3"/>
        <v>2857</v>
      </c>
      <c r="G41" s="97">
        <f t="shared" si="3"/>
        <v>140</v>
      </c>
      <c r="H41" s="97">
        <f t="shared" si="3"/>
        <v>397</v>
      </c>
      <c r="I41" s="97">
        <f t="shared" si="3"/>
        <v>2267</v>
      </c>
      <c r="J41" s="97">
        <f t="shared" si="3"/>
        <v>0</v>
      </c>
      <c r="K41" s="97">
        <f t="shared" si="3"/>
        <v>1640</v>
      </c>
      <c r="L41" s="97">
        <f t="shared" si="3"/>
        <v>222</v>
      </c>
      <c r="M41" s="97">
        <f t="shared" si="3"/>
        <v>1694</v>
      </c>
      <c r="N41" s="97">
        <f t="shared" si="3"/>
        <v>1351</v>
      </c>
      <c r="O41" s="97">
        <f t="shared" si="3"/>
        <v>615</v>
      </c>
      <c r="P41" s="97">
        <f t="shared" si="3"/>
        <v>650</v>
      </c>
      <c r="Q41" s="97">
        <f t="shared" si="3"/>
        <v>282</v>
      </c>
      <c r="R41" s="97">
        <f t="shared" si="3"/>
        <v>0</v>
      </c>
      <c r="S41" s="97">
        <f t="shared" si="3"/>
        <v>2272</v>
      </c>
      <c r="T41" s="97">
        <f t="shared" si="3"/>
        <v>547</v>
      </c>
      <c r="U41" s="97">
        <f t="shared" si="3"/>
        <v>272</v>
      </c>
      <c r="V41" s="97">
        <f t="shared" si="3"/>
        <v>0</v>
      </c>
      <c r="W41" s="97">
        <f t="shared" si="3"/>
        <v>0</v>
      </c>
      <c r="X41" s="97">
        <f t="shared" si="3"/>
        <v>0</v>
      </c>
      <c r="Y41" s="97">
        <f t="shared" si="3"/>
        <v>0</v>
      </c>
      <c r="Z41" s="97">
        <f t="shared" si="3"/>
        <v>0</v>
      </c>
      <c r="AA41" s="97">
        <f t="shared" si="3"/>
        <v>0</v>
      </c>
      <c r="AB41" s="97">
        <f t="shared" si="3"/>
        <v>1624</v>
      </c>
      <c r="AC41" s="97">
        <f t="shared" si="3"/>
        <v>94</v>
      </c>
      <c r="AD41" s="97">
        <f t="shared" si="3"/>
        <v>175</v>
      </c>
      <c r="AE41" s="97">
        <f t="shared" si="3"/>
        <v>0</v>
      </c>
      <c r="AF41" s="97">
        <f t="shared" si="3"/>
        <v>0</v>
      </c>
      <c r="AG41" s="97">
        <f t="shared" si="3"/>
        <v>0</v>
      </c>
      <c r="AH41" s="13">
        <f>SUM(C41:AG41)</f>
        <v>18299</v>
      </c>
    </row>
    <row r="42" spans="2:34" x14ac:dyDescent="0.5">
      <c r="B42" s="16" t="s">
        <v>8</v>
      </c>
      <c r="C42" s="5"/>
      <c r="D42" s="5">
        <v>0</v>
      </c>
      <c r="E42" s="5">
        <v>0</v>
      </c>
      <c r="F42" s="5">
        <v>143</v>
      </c>
      <c r="G42" s="5">
        <v>0</v>
      </c>
      <c r="H42" s="5">
        <v>32</v>
      </c>
      <c r="I42" s="5">
        <v>20</v>
      </c>
      <c r="J42" s="5"/>
      <c r="K42" s="5">
        <v>0</v>
      </c>
      <c r="L42" s="5">
        <v>0</v>
      </c>
      <c r="M42" s="5">
        <v>473</v>
      </c>
      <c r="N42" s="5">
        <v>12</v>
      </c>
      <c r="O42" s="5">
        <v>25</v>
      </c>
      <c r="P42" s="5">
        <v>30</v>
      </c>
      <c r="Q42" s="5">
        <v>10</v>
      </c>
      <c r="R42" s="5"/>
      <c r="S42" s="5">
        <v>122</v>
      </c>
      <c r="T42" s="5">
        <v>30</v>
      </c>
      <c r="U42" s="5"/>
      <c r="V42" s="5"/>
      <c r="W42" s="5"/>
      <c r="X42" s="5"/>
      <c r="Y42" s="5"/>
      <c r="Z42" s="92"/>
      <c r="AA42" s="5"/>
      <c r="AB42" s="5"/>
      <c r="AC42" s="92"/>
      <c r="AD42" s="92">
        <v>50</v>
      </c>
      <c r="AE42" s="5"/>
      <c r="AF42" s="5"/>
      <c r="AG42" s="5"/>
      <c r="AH42" s="12"/>
    </row>
    <row r="43" spans="2:34" ht="18" customHeight="1" thickBot="1" x14ac:dyDescent="0.55000000000000004">
      <c r="B43" s="47" t="s">
        <v>7</v>
      </c>
      <c r="C43" s="48"/>
      <c r="D43" s="48">
        <v>0</v>
      </c>
      <c r="E43" s="48">
        <v>0</v>
      </c>
      <c r="F43" s="48">
        <v>53</v>
      </c>
      <c r="G43" s="48">
        <v>0</v>
      </c>
      <c r="H43" s="48">
        <v>10</v>
      </c>
      <c r="I43" s="48">
        <v>51</v>
      </c>
      <c r="J43" s="48"/>
      <c r="K43" s="48">
        <v>18</v>
      </c>
      <c r="L43" s="48">
        <v>2</v>
      </c>
      <c r="M43" s="48">
        <v>27</v>
      </c>
      <c r="N43" s="48">
        <v>50</v>
      </c>
      <c r="O43" s="48">
        <v>12</v>
      </c>
      <c r="P43" s="48">
        <v>8</v>
      </c>
      <c r="Q43" s="48">
        <v>4</v>
      </c>
      <c r="R43" s="48"/>
      <c r="S43" s="48">
        <v>37</v>
      </c>
      <c r="T43" s="48">
        <v>14</v>
      </c>
      <c r="U43" s="48"/>
      <c r="V43" s="48"/>
      <c r="W43" s="48"/>
      <c r="X43" s="48"/>
      <c r="Y43" s="48"/>
      <c r="Z43" s="48"/>
      <c r="AA43" s="48"/>
      <c r="AB43" s="93"/>
      <c r="AC43" s="48"/>
      <c r="AD43" s="48">
        <v>5</v>
      </c>
      <c r="AE43" s="48"/>
      <c r="AF43" s="48"/>
      <c r="AG43" s="48"/>
      <c r="AH43" s="96"/>
    </row>
    <row r="44" spans="2:34" ht="21.75" thickBot="1" x14ac:dyDescent="0.55000000000000004">
      <c r="B44" s="65" t="s">
        <v>9</v>
      </c>
      <c r="C44" s="109"/>
      <c r="D44" s="49">
        <v>450</v>
      </c>
      <c r="E44" s="49">
        <v>2397</v>
      </c>
      <c r="F44" s="49">
        <v>681</v>
      </c>
      <c r="G44" s="108">
        <v>400</v>
      </c>
      <c r="H44" s="49">
        <v>0</v>
      </c>
      <c r="I44" s="49">
        <v>359</v>
      </c>
      <c r="J44" s="49"/>
      <c r="K44" s="49">
        <v>2200</v>
      </c>
      <c r="L44" s="49">
        <v>400</v>
      </c>
      <c r="M44" s="49"/>
      <c r="N44" s="49">
        <v>2000</v>
      </c>
      <c r="O44" s="49">
        <v>50</v>
      </c>
      <c r="P44" s="49">
        <v>1021</v>
      </c>
      <c r="Q44" s="49"/>
      <c r="R44" s="49"/>
      <c r="S44" s="49">
        <v>2800</v>
      </c>
      <c r="T44" s="49">
        <v>153</v>
      </c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108"/>
      <c r="AF44" s="49"/>
      <c r="AG44" s="49"/>
      <c r="AH44" s="50"/>
    </row>
    <row r="45" spans="2:34" ht="21.75" thickBot="1" x14ac:dyDescent="0.55000000000000004">
      <c r="B45" s="66" t="s">
        <v>14</v>
      </c>
      <c r="C45" s="51">
        <f>C39+C42+C44</f>
        <v>0</v>
      </c>
      <c r="D45" s="51">
        <f>D39+D42+D44</f>
        <v>450</v>
      </c>
      <c r="E45" s="51">
        <f>E39+E42+E44</f>
        <v>2397</v>
      </c>
      <c r="F45" s="51">
        <f t="shared" ref="F45:AG45" si="4">F39+F42+F44</f>
        <v>1144</v>
      </c>
      <c r="G45" s="51">
        <f t="shared" si="4"/>
        <v>400</v>
      </c>
      <c r="H45" s="51">
        <f t="shared" si="4"/>
        <v>433</v>
      </c>
      <c r="I45" s="51">
        <f t="shared" si="4"/>
        <v>402</v>
      </c>
      <c r="J45" s="51">
        <f t="shared" si="4"/>
        <v>0</v>
      </c>
      <c r="K45" s="51">
        <f t="shared" si="4"/>
        <v>2220</v>
      </c>
      <c r="L45" s="51">
        <f t="shared" si="4"/>
        <v>500</v>
      </c>
      <c r="M45" s="51">
        <f t="shared" si="4"/>
        <v>516</v>
      </c>
      <c r="N45" s="51">
        <f t="shared" si="4"/>
        <v>2112</v>
      </c>
      <c r="O45" s="51">
        <f t="shared" si="4"/>
        <v>203</v>
      </c>
      <c r="P45" s="51">
        <f t="shared" si="4"/>
        <v>1120</v>
      </c>
      <c r="Q45" s="51">
        <f>Q39+Q42+Q44</f>
        <v>67</v>
      </c>
      <c r="R45" s="51">
        <f t="shared" si="4"/>
        <v>0</v>
      </c>
      <c r="S45" s="51">
        <f t="shared" si="4"/>
        <v>2968</v>
      </c>
      <c r="T45" s="51">
        <f t="shared" si="4"/>
        <v>183</v>
      </c>
      <c r="U45" s="51">
        <f t="shared" si="4"/>
        <v>0</v>
      </c>
      <c r="V45" s="51">
        <f t="shared" si="4"/>
        <v>0</v>
      </c>
      <c r="W45" s="51">
        <f t="shared" si="4"/>
        <v>0</v>
      </c>
      <c r="X45" s="51">
        <f t="shared" si="4"/>
        <v>0</v>
      </c>
      <c r="Y45" s="51">
        <f t="shared" si="4"/>
        <v>0</v>
      </c>
      <c r="Z45" s="111">
        <f>Z39+Z42+Z44</f>
        <v>0</v>
      </c>
      <c r="AA45" s="51">
        <f t="shared" si="4"/>
        <v>0</v>
      </c>
      <c r="AB45" s="51">
        <f t="shared" si="4"/>
        <v>0</v>
      </c>
      <c r="AC45" s="51">
        <f t="shared" si="4"/>
        <v>0</v>
      </c>
      <c r="AD45" s="51">
        <f t="shared" si="4"/>
        <v>50</v>
      </c>
      <c r="AE45" s="51">
        <f t="shared" si="4"/>
        <v>0</v>
      </c>
      <c r="AF45" s="51">
        <f t="shared" si="4"/>
        <v>0</v>
      </c>
      <c r="AG45" s="51">
        <f t="shared" si="4"/>
        <v>0</v>
      </c>
      <c r="AH45" s="52"/>
    </row>
    <row r="46" spans="2:34" ht="21.75" thickBot="1" x14ac:dyDescent="0.55000000000000004">
      <c r="B46" s="67" t="s">
        <v>6</v>
      </c>
      <c r="C46" s="98"/>
      <c r="D46" s="53">
        <v>753</v>
      </c>
      <c r="E46" s="102">
        <f>30753-E37</f>
        <v>29767</v>
      </c>
      <c r="F46" s="102">
        <f t="shared" ref="F46:K46" si="5">E46-F37</f>
        <v>24246</v>
      </c>
      <c r="G46" s="102">
        <f t="shared" si="5"/>
        <v>24106</v>
      </c>
      <c r="H46" s="102">
        <f t="shared" si="5"/>
        <v>21484</v>
      </c>
      <c r="I46" s="102">
        <f t="shared" si="5"/>
        <v>19075</v>
      </c>
      <c r="J46" s="102">
        <f t="shared" si="5"/>
        <v>19075</v>
      </c>
      <c r="K46" s="102">
        <f t="shared" si="5"/>
        <v>17384</v>
      </c>
      <c r="L46" s="102">
        <f t="shared" ref="L46:Q46" si="6">K46-L37</f>
        <v>16941</v>
      </c>
      <c r="M46" s="102">
        <f t="shared" si="6"/>
        <v>15134</v>
      </c>
      <c r="N46" s="102">
        <f t="shared" si="6"/>
        <v>10021</v>
      </c>
      <c r="O46" s="102">
        <f t="shared" si="6"/>
        <v>8581</v>
      </c>
      <c r="P46" s="102">
        <f t="shared" si="6"/>
        <v>5168</v>
      </c>
      <c r="Q46" s="102">
        <f t="shared" si="6"/>
        <v>4624</v>
      </c>
      <c r="R46" s="53"/>
      <c r="S46" s="102">
        <f>Q46-S37</f>
        <v>2058</v>
      </c>
      <c r="T46" s="102">
        <f>S46-T37</f>
        <v>1511</v>
      </c>
      <c r="U46" s="102">
        <f>T46-U37</f>
        <v>1239</v>
      </c>
      <c r="V46" s="79"/>
      <c r="W46" s="79">
        <f>V46-W37</f>
        <v>0</v>
      </c>
      <c r="X46" s="79">
        <f>W46-X37</f>
        <v>0</v>
      </c>
      <c r="Y46" s="77"/>
      <c r="Z46" s="77">
        <f>U46</f>
        <v>1239</v>
      </c>
      <c r="AA46" s="77">
        <f>Z46-AA37</f>
        <v>1239</v>
      </c>
      <c r="AB46" s="77">
        <v>29065</v>
      </c>
      <c r="AC46" s="77">
        <f>AB46-AC37</f>
        <v>28971</v>
      </c>
      <c r="AD46" s="77">
        <f>AC46-AD37</f>
        <v>26266</v>
      </c>
      <c r="AE46" s="77">
        <f>AD46-AE37</f>
        <v>26266</v>
      </c>
      <c r="AF46" s="77">
        <f>AE46-AF37</f>
        <v>26266</v>
      </c>
      <c r="AG46" s="53"/>
      <c r="AH46" s="54"/>
    </row>
    <row r="47" spans="2:34" ht="21.75" thickBot="1" x14ac:dyDescent="0.55000000000000004">
      <c r="B47" s="23" t="s">
        <v>31</v>
      </c>
      <c r="C47" s="55">
        <f>(C38+C81+C82+C83)-C37</f>
        <v>0</v>
      </c>
      <c r="D47" s="55">
        <f t="shared" ref="D47:AG47" si="7">(D38+D81+D82+D83)-D37</f>
        <v>74</v>
      </c>
      <c r="E47" s="55">
        <f t="shared" si="7"/>
        <v>290</v>
      </c>
      <c r="F47" s="55">
        <f t="shared" si="7"/>
        <v>563</v>
      </c>
      <c r="G47" s="55">
        <f t="shared" si="7"/>
        <v>40</v>
      </c>
      <c r="H47" s="55">
        <f t="shared" si="7"/>
        <v>380</v>
      </c>
      <c r="I47" s="55">
        <f t="shared" si="7"/>
        <v>442</v>
      </c>
      <c r="J47" s="55">
        <f t="shared" si="7"/>
        <v>0</v>
      </c>
      <c r="K47" s="55">
        <f t="shared" si="7"/>
        <v>660</v>
      </c>
      <c r="L47" s="55">
        <f t="shared" si="7"/>
        <v>112</v>
      </c>
      <c r="M47" s="55">
        <f t="shared" si="7"/>
        <v>797</v>
      </c>
      <c r="N47" s="55">
        <f t="shared" si="7"/>
        <v>660</v>
      </c>
      <c r="O47" s="55">
        <f t="shared" si="7"/>
        <v>293</v>
      </c>
      <c r="P47" s="55">
        <f t="shared" si="7"/>
        <v>438</v>
      </c>
      <c r="Q47" s="55">
        <f t="shared" si="7"/>
        <v>89</v>
      </c>
      <c r="R47" s="55">
        <f t="shared" si="7"/>
        <v>0</v>
      </c>
      <c r="S47" s="55">
        <f t="shared" si="7"/>
        <v>455</v>
      </c>
      <c r="T47" s="55">
        <f t="shared" si="7"/>
        <v>239</v>
      </c>
      <c r="U47" s="55">
        <f t="shared" si="7"/>
        <v>91</v>
      </c>
      <c r="V47" s="55">
        <f t="shared" si="7"/>
        <v>0</v>
      </c>
      <c r="W47" s="55">
        <f t="shared" si="7"/>
        <v>0</v>
      </c>
      <c r="X47" s="55">
        <f t="shared" si="7"/>
        <v>0</v>
      </c>
      <c r="Y47" s="55">
        <f t="shared" si="7"/>
        <v>0</v>
      </c>
      <c r="Z47" s="55">
        <f t="shared" si="7"/>
        <v>0</v>
      </c>
      <c r="AA47" s="55">
        <f t="shared" si="7"/>
        <v>0</v>
      </c>
      <c r="AB47" s="55">
        <f t="shared" si="7"/>
        <v>1006</v>
      </c>
      <c r="AC47" s="55">
        <f t="shared" si="7"/>
        <v>21</v>
      </c>
      <c r="AD47" s="55">
        <f t="shared" si="7"/>
        <v>60</v>
      </c>
      <c r="AE47" s="55">
        <f t="shared" si="7"/>
        <v>0</v>
      </c>
      <c r="AF47" s="55">
        <f t="shared" si="7"/>
        <v>0</v>
      </c>
      <c r="AG47" s="55">
        <f t="shared" si="7"/>
        <v>0</v>
      </c>
      <c r="AH47" s="56">
        <f>SUM(C47:AG47)</f>
        <v>6710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2"/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/>
      <c r="X56" s="2"/>
      <c r="Y56" s="2"/>
      <c r="Z56" s="89"/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/>
    </row>
    <row r="59" spans="2:34" hidden="1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118"/>
    </row>
    <row r="60" spans="2:34" hidden="1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hidden="1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hidden="1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hidden="1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hidden="1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hidden="1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hidden="1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hidden="1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hidden="1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/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26525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1670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6710</v>
      </c>
    </row>
    <row r="74" spans="2:34" ht="24" customHeight="1" x14ac:dyDescent="0.5">
      <c r="B74" s="19" t="s">
        <v>3</v>
      </c>
      <c r="C74" s="21">
        <f>SUM(C38:AG38)</f>
        <v>15867</v>
      </c>
    </row>
    <row r="75" spans="2:34" ht="24" customHeight="1" x14ac:dyDescent="0.5">
      <c r="B75" s="19" t="s">
        <v>4</v>
      </c>
      <c r="C75" s="21">
        <f>SUM(C37:AG37)</f>
        <v>34166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>
        <v>45</v>
      </c>
      <c r="R81" s="2"/>
      <c r="S81" s="2"/>
      <c r="T81" s="2"/>
      <c r="U81" s="2"/>
      <c r="V81" s="2"/>
      <c r="W81" s="81"/>
      <c r="X81" s="2"/>
      <c r="Y81" s="2"/>
      <c r="Z81" s="89"/>
      <c r="AA81" s="2"/>
      <c r="AB81" s="89">
        <v>1230</v>
      </c>
      <c r="AC81" s="89"/>
      <c r="AD81" s="2">
        <v>33</v>
      </c>
      <c r="AE81" s="2"/>
      <c r="AF81" s="2"/>
      <c r="AG81" s="2"/>
    </row>
    <row r="82" spans="2:33" x14ac:dyDescent="0.5">
      <c r="B82" s="19" t="s">
        <v>35</v>
      </c>
      <c r="C82" s="2"/>
      <c r="D82" s="2"/>
      <c r="E82" s="2"/>
      <c r="F82" s="2"/>
      <c r="G82" s="2"/>
      <c r="H82" s="2">
        <v>580</v>
      </c>
      <c r="I82" s="2"/>
      <c r="J82" s="2"/>
      <c r="K82" s="2"/>
      <c r="L82" s="2"/>
      <c r="M82" s="2"/>
      <c r="N82" s="2">
        <v>247</v>
      </c>
      <c r="O82" s="2"/>
      <c r="P82" s="2"/>
      <c r="Q82" s="2">
        <v>67</v>
      </c>
      <c r="R82" s="2"/>
      <c r="S82" s="2"/>
      <c r="T82" s="2"/>
      <c r="U82" s="2"/>
      <c r="V82" s="2"/>
      <c r="W82" s="2"/>
      <c r="X82" s="2"/>
      <c r="Y82" s="2"/>
      <c r="Z82" s="2"/>
      <c r="AA82" s="2"/>
      <c r="AB82" s="2">
        <v>470</v>
      </c>
      <c r="AC82" s="2"/>
      <c r="AD82" s="89"/>
      <c r="AE82" s="2"/>
      <c r="AF82" s="89"/>
      <c r="AG82" s="2"/>
    </row>
    <row r="83" spans="2:33" x14ac:dyDescent="0.5">
      <c r="B83" s="90" t="s">
        <v>41</v>
      </c>
      <c r="C83" s="91"/>
      <c r="D83" s="91">
        <v>303</v>
      </c>
      <c r="E83" s="91">
        <v>1261</v>
      </c>
      <c r="F83" s="94">
        <v>3420</v>
      </c>
      <c r="G83" s="91">
        <v>180</v>
      </c>
      <c r="H83" s="91">
        <v>197</v>
      </c>
      <c r="I83" s="91">
        <v>2709</v>
      </c>
      <c r="J83" s="94"/>
      <c r="K83" s="94">
        <v>2300</v>
      </c>
      <c r="L83" s="94">
        <v>334</v>
      </c>
      <c r="M83" s="91">
        <v>2491</v>
      </c>
      <c r="N83" s="94">
        <v>1764</v>
      </c>
      <c r="O83" s="91">
        <v>908</v>
      </c>
      <c r="P83" s="94">
        <v>1088</v>
      </c>
      <c r="Q83" s="91">
        <v>259</v>
      </c>
      <c r="R83" s="91"/>
      <c r="S83" s="94">
        <v>2727</v>
      </c>
      <c r="T83" s="91">
        <v>786</v>
      </c>
      <c r="U83" s="91">
        <v>363</v>
      </c>
      <c r="V83" s="91"/>
      <c r="W83" s="91"/>
      <c r="X83" s="91"/>
      <c r="Y83" s="91"/>
      <c r="Z83" s="94"/>
      <c r="AA83" s="94"/>
      <c r="AB83" s="91">
        <v>930</v>
      </c>
      <c r="AC83" s="94">
        <v>115</v>
      </c>
      <c r="AD83" s="94">
        <v>202</v>
      </c>
      <c r="AE83" s="91"/>
      <c r="AF83" s="91"/>
      <c r="AG83" s="91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H83"/>
  <sheetViews>
    <sheetView topLeftCell="A2" zoomScaleNormal="100" workbookViewId="0">
      <pane xSplit="2" ySplit="3" topLeftCell="AC32" activePane="bottomRight" state="frozen"/>
      <selection activeCell="A2" sqref="A2"/>
      <selection pane="topRight" activeCell="C2" sqref="C2"/>
      <selection pane="bottomLeft" activeCell="A5" sqref="A5"/>
      <selection pane="bottomRight" activeCell="AF6" sqref="AF6:AF8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46113</v>
      </c>
      <c r="D4" s="27">
        <v>46114</v>
      </c>
      <c r="E4" s="27">
        <v>46115</v>
      </c>
      <c r="F4" s="27">
        <v>46116</v>
      </c>
      <c r="G4" s="27">
        <v>46117</v>
      </c>
      <c r="H4" s="27">
        <v>46118</v>
      </c>
      <c r="I4" s="27">
        <v>46119</v>
      </c>
      <c r="J4" s="27">
        <v>46120</v>
      </c>
      <c r="K4" s="27">
        <v>46121</v>
      </c>
      <c r="L4" s="27">
        <v>46122</v>
      </c>
      <c r="M4" s="27">
        <v>46123</v>
      </c>
      <c r="N4" s="27">
        <v>46124</v>
      </c>
      <c r="O4" s="27">
        <v>46125</v>
      </c>
      <c r="P4" s="27">
        <v>46126</v>
      </c>
      <c r="Q4" s="27">
        <v>46127</v>
      </c>
      <c r="R4" s="27">
        <v>46128</v>
      </c>
      <c r="S4" s="27">
        <v>46129</v>
      </c>
      <c r="T4" s="27">
        <v>46130</v>
      </c>
      <c r="U4" s="27">
        <v>46131</v>
      </c>
      <c r="V4" s="27">
        <v>46132</v>
      </c>
      <c r="W4" s="27">
        <v>46133</v>
      </c>
      <c r="X4" s="27">
        <v>46134</v>
      </c>
      <c r="Y4" s="27">
        <v>46135</v>
      </c>
      <c r="Z4" s="27">
        <v>46136</v>
      </c>
      <c r="AA4" s="27">
        <v>46137</v>
      </c>
      <c r="AB4" s="27">
        <v>46138</v>
      </c>
      <c r="AC4" s="27">
        <v>46139</v>
      </c>
      <c r="AD4" s="27">
        <v>46140</v>
      </c>
      <c r="AE4" s="27">
        <v>46141</v>
      </c>
      <c r="AF4" s="27">
        <v>46142</v>
      </c>
      <c r="AG4" s="27"/>
      <c r="AH4" s="26" t="s">
        <v>12</v>
      </c>
    </row>
    <row r="5" spans="1:34" ht="21.75" thickBot="1" x14ac:dyDescent="0.55000000000000004">
      <c r="B5" s="58" t="s">
        <v>0</v>
      </c>
      <c r="C5" s="28">
        <f>C15</f>
        <v>0</v>
      </c>
      <c r="D5" s="28">
        <f t="shared" ref="D5:AG5" si="0">D15</f>
        <v>0</v>
      </c>
      <c r="E5" s="28">
        <f t="shared" si="0"/>
        <v>0</v>
      </c>
      <c r="F5" s="28">
        <f t="shared" si="0"/>
        <v>0</v>
      </c>
      <c r="G5" s="28">
        <f t="shared" si="0"/>
        <v>0</v>
      </c>
      <c r="H5" s="28">
        <f t="shared" si="0"/>
        <v>0</v>
      </c>
      <c r="I5" s="28">
        <f t="shared" si="0"/>
        <v>0</v>
      </c>
      <c r="J5" s="28">
        <f t="shared" si="0"/>
        <v>0</v>
      </c>
      <c r="K5" s="28">
        <f t="shared" si="0"/>
        <v>0</v>
      </c>
      <c r="L5" s="28">
        <f t="shared" si="0"/>
        <v>0</v>
      </c>
      <c r="M5" s="28">
        <f t="shared" si="0"/>
        <v>0</v>
      </c>
      <c r="N5" s="28">
        <f t="shared" si="0"/>
        <v>0</v>
      </c>
      <c r="O5" s="28">
        <f t="shared" si="0"/>
        <v>2278</v>
      </c>
      <c r="P5" s="28">
        <f t="shared" si="0"/>
        <v>2038</v>
      </c>
      <c r="Q5" s="28">
        <f t="shared" si="0"/>
        <v>687</v>
      </c>
      <c r="R5" s="28">
        <f t="shared" si="0"/>
        <v>325</v>
      </c>
      <c r="S5" s="28">
        <f t="shared" si="0"/>
        <v>548</v>
      </c>
      <c r="T5" s="28">
        <f t="shared" si="0"/>
        <v>1833</v>
      </c>
      <c r="U5" s="28">
        <f t="shared" si="0"/>
        <v>0</v>
      </c>
      <c r="V5" s="28">
        <f t="shared" si="0"/>
        <v>3658</v>
      </c>
      <c r="W5" s="28">
        <f t="shared" si="0"/>
        <v>5459</v>
      </c>
      <c r="X5" s="28">
        <f t="shared" si="0"/>
        <v>2657</v>
      </c>
      <c r="Y5" s="28">
        <f t="shared" si="0"/>
        <v>1489</v>
      </c>
      <c r="Z5" s="28">
        <f t="shared" si="0"/>
        <v>77</v>
      </c>
      <c r="AA5" s="28">
        <f t="shared" si="0"/>
        <v>3230</v>
      </c>
      <c r="AB5" s="28">
        <f t="shared" si="0"/>
        <v>0</v>
      </c>
      <c r="AC5" s="28">
        <f t="shared" si="0"/>
        <v>1069</v>
      </c>
      <c r="AD5" s="28">
        <f t="shared" si="0"/>
        <v>14051</v>
      </c>
      <c r="AE5" s="28">
        <f t="shared" si="0"/>
        <v>1020</v>
      </c>
      <c r="AF5" s="28">
        <f t="shared" si="0"/>
        <v>1493</v>
      </c>
      <c r="AG5" s="28">
        <f t="shared" si="0"/>
        <v>0</v>
      </c>
      <c r="AH5" s="29">
        <f>SUM(C5:AG5)</f>
        <v>41912</v>
      </c>
    </row>
    <row r="6" spans="1:34" x14ac:dyDescent="0.5">
      <c r="B6" s="122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 t="s">
        <v>595</v>
      </c>
      <c r="P6" s="83" t="s">
        <v>600</v>
      </c>
      <c r="Q6" s="83" t="s">
        <v>602</v>
      </c>
      <c r="R6" s="83" t="s">
        <v>605</v>
      </c>
      <c r="S6" s="83" t="s">
        <v>608</v>
      </c>
      <c r="T6" s="83" t="s">
        <v>609</v>
      </c>
      <c r="U6" s="83"/>
      <c r="V6" s="83" t="s">
        <v>614</v>
      </c>
      <c r="W6" s="83" t="s">
        <v>619</v>
      </c>
      <c r="X6" s="83" t="s">
        <v>622</v>
      </c>
      <c r="Y6" s="83" t="s">
        <v>627</v>
      </c>
      <c r="Z6" s="83" t="s">
        <v>628</v>
      </c>
      <c r="AA6" s="83" t="s">
        <v>629</v>
      </c>
      <c r="AB6" s="83"/>
      <c r="AC6" s="83" t="s">
        <v>632</v>
      </c>
      <c r="AD6" s="83" t="s">
        <v>639</v>
      </c>
      <c r="AE6" s="83" t="s">
        <v>646</v>
      </c>
      <c r="AF6" s="83" t="s">
        <v>647</v>
      </c>
      <c r="AG6" s="83"/>
      <c r="AH6" s="123"/>
    </row>
    <row r="7" spans="1:34" x14ac:dyDescent="0.5">
      <c r="B7" s="122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 t="s">
        <v>596</v>
      </c>
      <c r="P7" s="84" t="s">
        <v>601</v>
      </c>
      <c r="Q7" s="84" t="s">
        <v>603</v>
      </c>
      <c r="R7" s="84" t="s">
        <v>606</v>
      </c>
      <c r="S7" s="84" t="s">
        <v>486</v>
      </c>
      <c r="T7" s="84" t="s">
        <v>610</v>
      </c>
      <c r="U7" s="84"/>
      <c r="V7" s="84" t="s">
        <v>615</v>
      </c>
      <c r="W7" s="84" t="s">
        <v>620</v>
      </c>
      <c r="X7" s="84" t="s">
        <v>623</v>
      </c>
      <c r="Y7" s="84"/>
      <c r="Z7" s="84"/>
      <c r="AA7" s="84" t="s">
        <v>518</v>
      </c>
      <c r="AB7" s="84"/>
      <c r="AC7" s="84" t="s">
        <v>633</v>
      </c>
      <c r="AD7" s="84" t="s">
        <v>640</v>
      </c>
      <c r="AE7" s="84" t="s">
        <v>642</v>
      </c>
      <c r="AF7" s="84" t="s">
        <v>648</v>
      </c>
      <c r="AG7" s="84"/>
      <c r="AH7" s="123"/>
    </row>
    <row r="8" spans="1:34" x14ac:dyDescent="0.5">
      <c r="B8" s="122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 t="s">
        <v>597</v>
      </c>
      <c r="P8" s="84"/>
      <c r="Q8" s="84" t="s">
        <v>405</v>
      </c>
      <c r="R8" s="84"/>
      <c r="S8" s="84" t="s">
        <v>607</v>
      </c>
      <c r="T8" s="84" t="s">
        <v>611</v>
      </c>
      <c r="U8" s="84"/>
      <c r="V8" s="84" t="s">
        <v>616</v>
      </c>
      <c r="W8" s="84" t="s">
        <v>621</v>
      </c>
      <c r="X8" s="84" t="s">
        <v>624</v>
      </c>
      <c r="Y8" s="84"/>
      <c r="Z8" s="84"/>
      <c r="AA8" s="84" t="s">
        <v>630</v>
      </c>
      <c r="AB8" s="84"/>
      <c r="AC8" s="84" t="s">
        <v>634</v>
      </c>
      <c r="AD8" s="84" t="s">
        <v>641</v>
      </c>
      <c r="AE8" s="84" t="s">
        <v>643</v>
      </c>
      <c r="AF8" s="84" t="s">
        <v>649</v>
      </c>
      <c r="AG8" s="84"/>
      <c r="AH8" s="123"/>
    </row>
    <row r="9" spans="1:34" x14ac:dyDescent="0.5">
      <c r="B9" s="122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 t="s">
        <v>598</v>
      </c>
      <c r="P9" s="84"/>
      <c r="Q9" s="84" t="s">
        <v>604</v>
      </c>
      <c r="R9" s="84"/>
      <c r="S9" s="84"/>
      <c r="T9" s="84" t="s">
        <v>612</v>
      </c>
      <c r="U9" s="84"/>
      <c r="V9" s="84" t="s">
        <v>617</v>
      </c>
      <c r="W9" s="84"/>
      <c r="X9" s="84" t="s">
        <v>625</v>
      </c>
      <c r="Y9" s="84"/>
      <c r="Z9" s="84"/>
      <c r="AA9" s="84" t="s">
        <v>631</v>
      </c>
      <c r="AB9" s="84"/>
      <c r="AC9" s="84" t="s">
        <v>635</v>
      </c>
      <c r="AD9" s="84"/>
      <c r="AE9" s="84" t="s">
        <v>644</v>
      </c>
      <c r="AF9" s="84"/>
      <c r="AG9" s="84"/>
      <c r="AH9" s="123"/>
    </row>
    <row r="10" spans="1:34" x14ac:dyDescent="0.5">
      <c r="B10" s="122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 t="s">
        <v>599</v>
      </c>
      <c r="P10" s="84"/>
      <c r="Q10" s="84"/>
      <c r="R10" s="84"/>
      <c r="S10" s="84"/>
      <c r="T10" s="84" t="s">
        <v>613</v>
      </c>
      <c r="U10" s="84"/>
      <c r="V10" s="84" t="s">
        <v>618</v>
      </c>
      <c r="W10" s="84"/>
      <c r="X10" s="84" t="s">
        <v>626</v>
      </c>
      <c r="Y10" s="84"/>
      <c r="Z10" s="84"/>
      <c r="AA10" s="84"/>
      <c r="AB10" s="84"/>
      <c r="AC10" s="84" t="s">
        <v>636</v>
      </c>
      <c r="AD10" s="84"/>
      <c r="AE10" s="84" t="s">
        <v>645</v>
      </c>
      <c r="AF10" s="84"/>
      <c r="AG10" s="84"/>
      <c r="AH10" s="123"/>
    </row>
    <row r="11" spans="1:34" x14ac:dyDescent="0.5">
      <c r="B11" s="122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 t="s">
        <v>486</v>
      </c>
      <c r="U11" s="84"/>
      <c r="V11" s="84"/>
      <c r="W11" s="84"/>
      <c r="X11" s="84"/>
      <c r="Y11" s="84"/>
      <c r="Z11" s="84"/>
      <c r="AA11" s="84"/>
      <c r="AB11" s="84"/>
      <c r="AC11" s="84" t="s">
        <v>637</v>
      </c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 t="s">
        <v>638</v>
      </c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0</v>
      </c>
      <c r="D15" s="31">
        <f t="shared" ref="D15:AG15" si="1">SUM(D16:D22)</f>
        <v>0</v>
      </c>
      <c r="E15" s="31">
        <f t="shared" si="1"/>
        <v>0</v>
      </c>
      <c r="F15" s="31">
        <f t="shared" si="1"/>
        <v>0</v>
      </c>
      <c r="G15" s="31">
        <f t="shared" si="1"/>
        <v>0</v>
      </c>
      <c r="H15" s="31">
        <f t="shared" si="1"/>
        <v>0</v>
      </c>
      <c r="I15" s="31">
        <f t="shared" si="1"/>
        <v>0</v>
      </c>
      <c r="J15" s="31">
        <f t="shared" si="1"/>
        <v>0</v>
      </c>
      <c r="K15" s="31">
        <f t="shared" si="1"/>
        <v>0</v>
      </c>
      <c r="L15" s="31">
        <f t="shared" si="1"/>
        <v>0</v>
      </c>
      <c r="M15" s="31">
        <f t="shared" si="1"/>
        <v>0</v>
      </c>
      <c r="N15" s="31">
        <f t="shared" si="1"/>
        <v>0</v>
      </c>
      <c r="O15" s="31">
        <f t="shared" si="1"/>
        <v>2278</v>
      </c>
      <c r="P15" s="31">
        <f t="shared" si="1"/>
        <v>2038</v>
      </c>
      <c r="Q15" s="31">
        <f t="shared" si="1"/>
        <v>687</v>
      </c>
      <c r="R15" s="31">
        <f t="shared" si="1"/>
        <v>325</v>
      </c>
      <c r="S15" s="31">
        <f t="shared" si="1"/>
        <v>548</v>
      </c>
      <c r="T15" s="31">
        <f t="shared" si="1"/>
        <v>1833</v>
      </c>
      <c r="U15" s="31">
        <f t="shared" si="1"/>
        <v>0</v>
      </c>
      <c r="V15" s="31">
        <f t="shared" si="1"/>
        <v>3658</v>
      </c>
      <c r="W15" s="31">
        <f t="shared" si="1"/>
        <v>5459</v>
      </c>
      <c r="X15" s="31">
        <f t="shared" si="1"/>
        <v>2657</v>
      </c>
      <c r="Y15" s="31">
        <f t="shared" si="1"/>
        <v>1489</v>
      </c>
      <c r="Z15" s="31">
        <f t="shared" si="1"/>
        <v>77</v>
      </c>
      <c r="AA15" s="31">
        <f t="shared" si="1"/>
        <v>3230</v>
      </c>
      <c r="AB15" s="31">
        <f t="shared" si="1"/>
        <v>0</v>
      </c>
      <c r="AC15" s="31">
        <f t="shared" si="1"/>
        <v>1069</v>
      </c>
      <c r="AD15" s="31">
        <f t="shared" si="1"/>
        <v>14051</v>
      </c>
      <c r="AE15" s="31">
        <f t="shared" si="1"/>
        <v>1020</v>
      </c>
      <c r="AF15" s="31">
        <f t="shared" si="1"/>
        <v>1493</v>
      </c>
      <c r="AG15" s="31">
        <f t="shared" si="1"/>
        <v>0</v>
      </c>
      <c r="AH15" s="32">
        <f>SUM(C15:AG15)</f>
        <v>41912</v>
      </c>
    </row>
    <row r="16" spans="1:34" x14ac:dyDescent="0.5">
      <c r="B16" s="60" t="s">
        <v>18</v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>
        <v>1707</v>
      </c>
      <c r="P16" s="30"/>
      <c r="Q16" s="30"/>
      <c r="R16" s="30">
        <v>180</v>
      </c>
      <c r="S16" s="30"/>
      <c r="T16" s="30"/>
      <c r="U16" s="30"/>
      <c r="V16" s="30">
        <v>3457</v>
      </c>
      <c r="W16" s="30">
        <v>164</v>
      </c>
      <c r="X16" s="30"/>
      <c r="Y16" s="30"/>
      <c r="Z16" s="30">
        <v>77</v>
      </c>
      <c r="AA16" s="30">
        <v>1776</v>
      </c>
      <c r="AB16" s="30"/>
      <c r="AC16" s="30">
        <v>214</v>
      </c>
      <c r="AD16" s="30"/>
      <c r="AE16" s="30">
        <v>181</v>
      </c>
      <c r="AF16" s="30">
        <v>400</v>
      </c>
      <c r="AG16" s="30"/>
      <c r="AH16" s="10"/>
    </row>
    <row r="17" spans="2:34" x14ac:dyDescent="0.5">
      <c r="B17" s="61" t="s">
        <v>19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>
        <v>590</v>
      </c>
      <c r="Q17" s="22">
        <v>250</v>
      </c>
      <c r="R17" s="22"/>
      <c r="S17" s="22"/>
      <c r="T17" s="22">
        <v>133</v>
      </c>
      <c r="U17" s="22"/>
      <c r="V17" s="22"/>
      <c r="W17" s="22"/>
      <c r="X17" s="22"/>
      <c r="Y17" s="22"/>
      <c r="Z17" s="22"/>
      <c r="AA17" s="22"/>
      <c r="AB17" s="22"/>
      <c r="AC17" s="22">
        <v>336</v>
      </c>
      <c r="AD17" s="22"/>
      <c r="AE17" s="22">
        <v>314</v>
      </c>
      <c r="AF17" s="22"/>
      <c r="AG17" s="22"/>
      <c r="AH17" s="10"/>
    </row>
    <row r="18" spans="2:34" x14ac:dyDescent="0.5">
      <c r="B18" s="61" t="s">
        <v>20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>
        <v>401</v>
      </c>
      <c r="P18" s="22">
        <v>1448</v>
      </c>
      <c r="Q18" s="22">
        <v>360</v>
      </c>
      <c r="R18" s="22">
        <v>145</v>
      </c>
      <c r="S18" s="22">
        <v>375</v>
      </c>
      <c r="T18" s="22">
        <v>1477</v>
      </c>
      <c r="U18" s="30"/>
      <c r="V18" s="22">
        <v>154</v>
      </c>
      <c r="W18" s="22">
        <v>5295</v>
      </c>
      <c r="X18" s="22">
        <v>2577</v>
      </c>
      <c r="Y18" s="22">
        <v>1489</v>
      </c>
      <c r="Z18" s="22"/>
      <c r="AA18" s="22">
        <v>1454</v>
      </c>
      <c r="AB18" s="22"/>
      <c r="AC18" s="22">
        <v>58</v>
      </c>
      <c r="AD18" s="22">
        <v>14051</v>
      </c>
      <c r="AE18" s="22">
        <v>316</v>
      </c>
      <c r="AF18" s="22">
        <v>1093</v>
      </c>
      <c r="AG18" s="22"/>
      <c r="AH18" s="10"/>
    </row>
    <row r="19" spans="2:34" x14ac:dyDescent="0.5">
      <c r="B19" s="61" t="s">
        <v>21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>
        <v>47</v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50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>
        <v>42</v>
      </c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10"/>
    </row>
    <row r="21" spans="2:34" x14ac:dyDescent="0.5">
      <c r="B21" s="61" t="s">
        <v>32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>
        <v>170</v>
      </c>
      <c r="P21" s="22"/>
      <c r="Q21" s="22">
        <v>35</v>
      </c>
      <c r="R21" s="22"/>
      <c r="S21" s="22">
        <v>173</v>
      </c>
      <c r="T21" s="22"/>
      <c r="U21" s="22"/>
      <c r="V21" s="22"/>
      <c r="W21" s="22"/>
      <c r="X21" s="22"/>
      <c r="Y21" s="22"/>
      <c r="Z21" s="22"/>
      <c r="AA21" s="22"/>
      <c r="AB21" s="22"/>
      <c r="AC21" s="22">
        <v>226</v>
      </c>
      <c r="AD21" s="22"/>
      <c r="AE21" s="22">
        <v>100</v>
      </c>
      <c r="AF21" s="22"/>
      <c r="AG21" s="22"/>
      <c r="AH21" s="10"/>
    </row>
    <row r="22" spans="2:34" ht="21.75" thickBot="1" x14ac:dyDescent="0.55000000000000004">
      <c r="B22" s="62" t="s">
        <v>33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>
        <v>223</v>
      </c>
      <c r="U22" s="33"/>
      <c r="V22" s="33"/>
      <c r="W22" s="33"/>
      <c r="X22" s="33">
        <v>80</v>
      </c>
      <c r="Y22" s="33"/>
      <c r="Z22" s="33"/>
      <c r="AA22" s="33"/>
      <c r="AB22" s="33"/>
      <c r="AC22" s="33">
        <v>235</v>
      </c>
      <c r="AD22" s="33"/>
      <c r="AE22" s="33">
        <v>109</v>
      </c>
      <c r="AF22" s="33"/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0</v>
      </c>
      <c r="D23" s="37">
        <f t="shared" ref="D23:AG23" si="2">SUM(D24:D36)</f>
        <v>0</v>
      </c>
      <c r="E23" s="37">
        <f t="shared" si="2"/>
        <v>0</v>
      </c>
      <c r="F23" s="37">
        <f t="shared" si="2"/>
        <v>0</v>
      </c>
      <c r="G23" s="37">
        <f t="shared" si="2"/>
        <v>0</v>
      </c>
      <c r="H23" s="37">
        <f t="shared" si="2"/>
        <v>0</v>
      </c>
      <c r="I23" s="37">
        <f t="shared" si="2"/>
        <v>0</v>
      </c>
      <c r="J23" s="37">
        <f t="shared" si="2"/>
        <v>0</v>
      </c>
      <c r="K23" s="37">
        <f t="shared" si="2"/>
        <v>0</v>
      </c>
      <c r="L23" s="37">
        <f t="shared" si="2"/>
        <v>0</v>
      </c>
      <c r="M23" s="37">
        <f t="shared" si="2"/>
        <v>0</v>
      </c>
      <c r="N23" s="37">
        <f t="shared" si="2"/>
        <v>0</v>
      </c>
      <c r="O23" s="37">
        <f t="shared" si="2"/>
        <v>311</v>
      </c>
      <c r="P23" s="37">
        <f t="shared" si="2"/>
        <v>140</v>
      </c>
      <c r="Q23" s="37">
        <f t="shared" si="2"/>
        <v>86</v>
      </c>
      <c r="R23" s="37">
        <f t="shared" si="2"/>
        <v>0</v>
      </c>
      <c r="S23" s="37">
        <f t="shared" si="2"/>
        <v>40</v>
      </c>
      <c r="T23" s="37">
        <f t="shared" si="2"/>
        <v>271</v>
      </c>
      <c r="U23" s="37">
        <f t="shared" si="2"/>
        <v>0</v>
      </c>
      <c r="V23" s="37">
        <f t="shared" si="2"/>
        <v>324</v>
      </c>
      <c r="W23" s="37">
        <f t="shared" si="2"/>
        <v>151</v>
      </c>
      <c r="X23" s="37">
        <f t="shared" si="2"/>
        <v>0</v>
      </c>
      <c r="Y23" s="37">
        <f t="shared" si="2"/>
        <v>40</v>
      </c>
      <c r="Z23" s="37">
        <f t="shared" si="2"/>
        <v>9</v>
      </c>
      <c r="AA23" s="37">
        <f t="shared" si="2"/>
        <v>206</v>
      </c>
      <c r="AB23" s="37">
        <f t="shared" si="2"/>
        <v>0</v>
      </c>
      <c r="AC23" s="37">
        <f t="shared" si="2"/>
        <v>192</v>
      </c>
      <c r="AD23" s="37">
        <f>SUM(AD24:AD36)</f>
        <v>416</v>
      </c>
      <c r="AE23" s="37">
        <f t="shared" si="2"/>
        <v>56</v>
      </c>
      <c r="AF23" s="37">
        <f t="shared" si="2"/>
        <v>35</v>
      </c>
      <c r="AG23" s="37">
        <f t="shared" si="2"/>
        <v>0</v>
      </c>
      <c r="AH23" s="38">
        <f>SUM(C23:AG23)</f>
        <v>2277</v>
      </c>
    </row>
    <row r="24" spans="2:34" x14ac:dyDescent="0.5">
      <c r="B24" s="35" t="s">
        <v>24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>
        <v>6</v>
      </c>
      <c r="R24" s="36"/>
      <c r="S24" s="36"/>
      <c r="T24" s="36"/>
      <c r="U24" s="36"/>
      <c r="V24" s="36"/>
      <c r="W24" s="36"/>
      <c r="X24" s="36"/>
      <c r="Y24" s="36"/>
      <c r="Z24" s="36"/>
      <c r="AA24" s="36">
        <v>6</v>
      </c>
      <c r="AB24" s="36"/>
      <c r="AC24" s="36"/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>
        <v>100</v>
      </c>
      <c r="P25" s="8">
        <v>50</v>
      </c>
      <c r="Q25" s="8">
        <v>30</v>
      </c>
      <c r="R25" s="8"/>
      <c r="S25" s="8"/>
      <c r="T25" s="8"/>
      <c r="U25" s="8"/>
      <c r="V25" s="8">
        <v>100</v>
      </c>
      <c r="W25" s="8"/>
      <c r="X25" s="8"/>
      <c r="Y25" s="8"/>
      <c r="Z25" s="8"/>
      <c r="AA25" s="8">
        <v>50</v>
      </c>
      <c r="AB25" s="8"/>
      <c r="AC25" s="8"/>
      <c r="AD25" s="8"/>
      <c r="AE25" s="8"/>
      <c r="AF25" s="8"/>
      <c r="AG25" s="8"/>
      <c r="AH25" s="6"/>
    </row>
    <row r="26" spans="2:34" x14ac:dyDescent="0.5">
      <c r="B26" s="11" t="s">
        <v>26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>
        <v>90</v>
      </c>
      <c r="Q26" s="8"/>
      <c r="R26" s="8"/>
      <c r="S26" s="8"/>
      <c r="T26" s="8">
        <v>13</v>
      </c>
      <c r="U26" s="8"/>
      <c r="V26" s="8"/>
      <c r="W26" s="8">
        <v>80</v>
      </c>
      <c r="X26" s="8"/>
      <c r="Y26" s="8"/>
      <c r="Z26" s="8">
        <v>5</v>
      </c>
      <c r="AA26" s="8">
        <v>40</v>
      </c>
      <c r="AB26" s="8"/>
      <c r="AC26" s="8"/>
      <c r="AD26" s="8"/>
      <c r="AE26" s="8"/>
      <c r="AF26" s="8"/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>
        <v>6</v>
      </c>
      <c r="U27" s="8"/>
      <c r="V27" s="8"/>
      <c r="W27" s="8"/>
      <c r="X27" s="8"/>
      <c r="Y27" s="8"/>
      <c r="Z27" s="8">
        <v>4</v>
      </c>
      <c r="AA27" s="8">
        <v>30</v>
      </c>
      <c r="AB27" s="8"/>
      <c r="AC27" s="8"/>
      <c r="AD27" s="8"/>
      <c r="AE27" s="8"/>
      <c r="AF27" s="8"/>
      <c r="AG27" s="8"/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>
        <v>65</v>
      </c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>
        <v>32</v>
      </c>
      <c r="U30" s="8"/>
      <c r="V30" s="8"/>
      <c r="W30" s="8"/>
      <c r="X30" s="8"/>
      <c r="Y30" s="8"/>
      <c r="Z30" s="8"/>
      <c r="AA30" s="8"/>
      <c r="AB30" s="8"/>
      <c r="AC30" s="8">
        <v>25</v>
      </c>
      <c r="AD30" s="8">
        <v>6</v>
      </c>
      <c r="AE30" s="8"/>
      <c r="AF30" s="8">
        <v>35</v>
      </c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>
        <v>30</v>
      </c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>
        <v>12</v>
      </c>
      <c r="Z32" s="8"/>
      <c r="AA32" s="8"/>
      <c r="AB32" s="8"/>
      <c r="AC32" s="8"/>
      <c r="AD32" s="8">
        <v>160</v>
      </c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>
        <v>100</v>
      </c>
      <c r="P33" s="8"/>
      <c r="Q33" s="8"/>
      <c r="R33" s="8"/>
      <c r="S33" s="8"/>
      <c r="T33" s="8"/>
      <c r="U33" s="8"/>
      <c r="V33" s="8">
        <v>13</v>
      </c>
      <c r="W33" s="8">
        <v>10</v>
      </c>
      <c r="X33" s="8"/>
      <c r="Y33" s="8">
        <v>4</v>
      </c>
      <c r="Z33" s="8"/>
      <c r="AA33" s="8"/>
      <c r="AB33" s="8"/>
      <c r="AC33" s="8">
        <v>30</v>
      </c>
      <c r="AD33" s="8">
        <v>50</v>
      </c>
      <c r="AE33" s="8">
        <v>50</v>
      </c>
      <c r="AF33" s="8"/>
      <c r="AG33" s="8"/>
      <c r="AH33" s="6"/>
    </row>
    <row r="34" spans="2:34" x14ac:dyDescent="0.5">
      <c r="B34" s="11" t="s">
        <v>47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>
        <v>13</v>
      </c>
      <c r="P34" s="8"/>
      <c r="Q34" s="8"/>
      <c r="R34" s="8"/>
      <c r="S34" s="8"/>
      <c r="T34" s="8">
        <v>120</v>
      </c>
      <c r="U34" s="8"/>
      <c r="V34" s="8">
        <v>122</v>
      </c>
      <c r="W34" s="8">
        <v>55</v>
      </c>
      <c r="X34" s="8"/>
      <c r="Y34" s="8">
        <v>8</v>
      </c>
      <c r="Z34" s="8"/>
      <c r="AA34" s="8"/>
      <c r="AB34" s="8"/>
      <c r="AC34" s="8">
        <v>70</v>
      </c>
      <c r="AD34" s="8">
        <v>200</v>
      </c>
      <c r="AE34" s="8">
        <v>6</v>
      </c>
      <c r="AF34" s="8"/>
      <c r="AG34" s="8"/>
      <c r="AH34" s="6"/>
    </row>
    <row r="35" spans="2:34" x14ac:dyDescent="0.5">
      <c r="B35" s="11" t="s">
        <v>48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>
        <v>68</v>
      </c>
      <c r="P35" s="8"/>
      <c r="Q35" s="8">
        <v>50</v>
      </c>
      <c r="R35" s="8"/>
      <c r="S35" s="8">
        <v>40</v>
      </c>
      <c r="T35" s="8">
        <v>100</v>
      </c>
      <c r="U35" s="8"/>
      <c r="V35" s="8">
        <v>24</v>
      </c>
      <c r="W35" s="8">
        <v>6</v>
      </c>
      <c r="X35" s="8"/>
      <c r="Y35" s="8">
        <v>16</v>
      </c>
      <c r="Z35" s="8"/>
      <c r="AA35" s="8">
        <v>80</v>
      </c>
      <c r="AB35" s="8"/>
      <c r="AC35" s="8">
        <v>67</v>
      </c>
      <c r="AD35" s="8"/>
      <c r="AE35" s="8"/>
      <c r="AF35" s="8"/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/>
      <c r="D37" s="45"/>
      <c r="E37" s="45"/>
      <c r="F37" s="45"/>
      <c r="G37" s="87"/>
      <c r="H37" s="45"/>
      <c r="I37" s="45"/>
      <c r="J37" s="87"/>
      <c r="K37" s="87"/>
      <c r="L37" s="87"/>
      <c r="M37" s="45"/>
      <c r="N37" s="45"/>
      <c r="O37" s="87">
        <v>1892</v>
      </c>
      <c r="P37" s="87">
        <v>2579</v>
      </c>
      <c r="Q37" s="87">
        <v>52166</v>
      </c>
      <c r="R37" s="87">
        <v>2082</v>
      </c>
      <c r="S37" s="45">
        <v>469</v>
      </c>
      <c r="T37" s="87">
        <v>1409</v>
      </c>
      <c r="U37" s="87"/>
      <c r="V37" s="78">
        <v>2418</v>
      </c>
      <c r="W37" s="44">
        <v>12122</v>
      </c>
      <c r="X37" s="87">
        <v>1594</v>
      </c>
      <c r="Y37" s="87">
        <v>1720</v>
      </c>
      <c r="Z37" s="87">
        <v>3134</v>
      </c>
      <c r="AA37" s="87">
        <v>2719</v>
      </c>
      <c r="AB37" s="87"/>
      <c r="AC37" s="44">
        <v>3482</v>
      </c>
      <c r="AD37" s="44">
        <v>13643</v>
      </c>
      <c r="AE37" s="44">
        <v>2008</v>
      </c>
      <c r="AF37" s="44">
        <v>2785</v>
      </c>
      <c r="AG37" s="44"/>
      <c r="AH37" s="46">
        <f>SUM(C37:AG37)</f>
        <v>106222</v>
      </c>
    </row>
    <row r="38" spans="2:34" x14ac:dyDescent="0.5">
      <c r="B38" s="42" t="s">
        <v>3</v>
      </c>
      <c r="C38" s="43"/>
      <c r="D38" s="43"/>
      <c r="E38" s="43"/>
      <c r="F38" s="43"/>
      <c r="G38" s="43"/>
      <c r="H38" s="43"/>
      <c r="I38" s="43"/>
      <c r="J38" s="43"/>
      <c r="K38" s="88"/>
      <c r="L38" s="43"/>
      <c r="M38" s="43"/>
      <c r="N38" s="43"/>
      <c r="O38" s="43">
        <v>159</v>
      </c>
      <c r="P38" s="43">
        <v>176</v>
      </c>
      <c r="Q38" s="43">
        <v>228</v>
      </c>
      <c r="R38" s="88">
        <v>1867</v>
      </c>
      <c r="S38" s="43">
        <v>18</v>
      </c>
      <c r="T38" s="43">
        <v>282</v>
      </c>
      <c r="U38" s="43"/>
      <c r="V38" s="43">
        <v>0</v>
      </c>
      <c r="W38" s="43"/>
      <c r="X38" s="43"/>
      <c r="Y38" s="88">
        <v>1643</v>
      </c>
      <c r="Z38" s="88"/>
      <c r="AA38" s="43">
        <v>166</v>
      </c>
      <c r="AB38" s="43"/>
      <c r="AC38" s="95">
        <v>32</v>
      </c>
      <c r="AD38" s="95">
        <v>1425</v>
      </c>
      <c r="AE38" s="95">
        <v>1193</v>
      </c>
      <c r="AF38" s="95">
        <v>1985</v>
      </c>
      <c r="AG38" s="95"/>
      <c r="AH38" s="7"/>
    </row>
    <row r="39" spans="2:34" x14ac:dyDescent="0.5">
      <c r="B39" s="15" t="s">
        <v>10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>
        <v>223</v>
      </c>
      <c r="P39" s="9">
        <v>115</v>
      </c>
      <c r="Q39" s="9">
        <v>32</v>
      </c>
      <c r="R39" s="9">
        <v>635</v>
      </c>
      <c r="S39" s="9"/>
      <c r="T39" s="9">
        <v>310</v>
      </c>
      <c r="U39" s="9"/>
      <c r="V39" s="9">
        <v>0</v>
      </c>
      <c r="W39" s="9"/>
      <c r="X39" s="9"/>
      <c r="Y39" s="9">
        <v>127</v>
      </c>
      <c r="Z39" s="9"/>
      <c r="AA39" s="9">
        <v>200</v>
      </c>
      <c r="AB39" s="9"/>
      <c r="AC39" s="9">
        <v>0</v>
      </c>
      <c r="AD39" s="9">
        <v>334</v>
      </c>
      <c r="AE39" s="9">
        <v>400</v>
      </c>
      <c r="AF39" s="9">
        <v>402</v>
      </c>
      <c r="AG39" s="9"/>
      <c r="AH39" s="14"/>
    </row>
    <row r="40" spans="2:34" x14ac:dyDescent="0.5">
      <c r="B40" s="15" t="s">
        <v>11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>
        <v>2</v>
      </c>
      <c r="P40" s="9">
        <v>4</v>
      </c>
      <c r="Q40" s="9">
        <v>5</v>
      </c>
      <c r="R40" s="9">
        <v>37</v>
      </c>
      <c r="S40" s="9"/>
      <c r="T40" s="9">
        <v>4</v>
      </c>
      <c r="U40" s="9"/>
      <c r="V40" s="9">
        <v>0</v>
      </c>
      <c r="W40" s="9"/>
      <c r="X40" s="9"/>
      <c r="Y40" s="9">
        <v>48</v>
      </c>
      <c r="Z40" s="9"/>
      <c r="AA40" s="9">
        <v>2</v>
      </c>
      <c r="AB40" s="9"/>
      <c r="AC40" s="9">
        <v>1</v>
      </c>
      <c r="AD40" s="9">
        <v>31</v>
      </c>
      <c r="AE40" s="9">
        <v>21</v>
      </c>
      <c r="AF40" s="9">
        <v>62</v>
      </c>
      <c r="AG40" s="9"/>
      <c r="AH40" s="7"/>
    </row>
    <row r="41" spans="2:34" x14ac:dyDescent="0.5">
      <c r="B41" s="16" t="s">
        <v>5</v>
      </c>
      <c r="C41" s="97">
        <f>SUM(C37-C38)</f>
        <v>0</v>
      </c>
      <c r="D41" s="97">
        <f t="shared" ref="D41:AG41" si="3">SUM(D37-D38)</f>
        <v>0</v>
      </c>
      <c r="E41" s="97">
        <f t="shared" si="3"/>
        <v>0</v>
      </c>
      <c r="F41" s="97">
        <f t="shared" si="3"/>
        <v>0</v>
      </c>
      <c r="G41" s="97">
        <f t="shared" si="3"/>
        <v>0</v>
      </c>
      <c r="H41" s="97">
        <f t="shared" si="3"/>
        <v>0</v>
      </c>
      <c r="I41" s="97">
        <f t="shared" si="3"/>
        <v>0</v>
      </c>
      <c r="J41" s="97">
        <f t="shared" si="3"/>
        <v>0</v>
      </c>
      <c r="K41" s="97">
        <f t="shared" si="3"/>
        <v>0</v>
      </c>
      <c r="L41" s="97">
        <f t="shared" si="3"/>
        <v>0</v>
      </c>
      <c r="M41" s="97">
        <f t="shared" si="3"/>
        <v>0</v>
      </c>
      <c r="N41" s="97">
        <f t="shared" si="3"/>
        <v>0</v>
      </c>
      <c r="O41" s="97">
        <f t="shared" si="3"/>
        <v>1733</v>
      </c>
      <c r="P41" s="97">
        <f t="shared" si="3"/>
        <v>2403</v>
      </c>
      <c r="Q41" s="97">
        <f t="shared" si="3"/>
        <v>51938</v>
      </c>
      <c r="R41" s="97">
        <f t="shared" si="3"/>
        <v>215</v>
      </c>
      <c r="S41" s="97">
        <f t="shared" si="3"/>
        <v>451</v>
      </c>
      <c r="T41" s="97">
        <f t="shared" si="3"/>
        <v>1127</v>
      </c>
      <c r="U41" s="97">
        <f t="shared" si="3"/>
        <v>0</v>
      </c>
      <c r="V41" s="97">
        <f t="shared" si="3"/>
        <v>2418</v>
      </c>
      <c r="W41" s="97">
        <f t="shared" si="3"/>
        <v>12122</v>
      </c>
      <c r="X41" s="97">
        <f t="shared" si="3"/>
        <v>1594</v>
      </c>
      <c r="Y41" s="97">
        <f t="shared" si="3"/>
        <v>77</v>
      </c>
      <c r="Z41" s="97">
        <f t="shared" si="3"/>
        <v>3134</v>
      </c>
      <c r="AA41" s="97">
        <f t="shared" si="3"/>
        <v>2553</v>
      </c>
      <c r="AB41" s="97">
        <f t="shared" si="3"/>
        <v>0</v>
      </c>
      <c r="AC41" s="97">
        <f t="shared" si="3"/>
        <v>3450</v>
      </c>
      <c r="AD41" s="97">
        <f t="shared" si="3"/>
        <v>12218</v>
      </c>
      <c r="AE41" s="97">
        <f t="shared" si="3"/>
        <v>815</v>
      </c>
      <c r="AF41" s="97">
        <f t="shared" si="3"/>
        <v>800</v>
      </c>
      <c r="AG41" s="97">
        <f t="shared" si="3"/>
        <v>0</v>
      </c>
      <c r="AH41" s="13">
        <f>SUM(C41:AG41)</f>
        <v>97048</v>
      </c>
    </row>
    <row r="42" spans="2:34" x14ac:dyDescent="0.5">
      <c r="B42" s="16" t="s">
        <v>8</v>
      </c>
      <c r="C42" s="5"/>
      <c r="D42" s="5"/>
      <c r="E42" s="5"/>
      <c r="F42" s="5"/>
      <c r="G42" s="5"/>
      <c r="H42" s="92"/>
      <c r="I42" s="5"/>
      <c r="J42" s="5"/>
      <c r="K42" s="5"/>
      <c r="L42" s="5"/>
      <c r="M42" s="5"/>
      <c r="N42" s="5"/>
      <c r="O42" s="5">
        <v>357</v>
      </c>
      <c r="P42" s="5">
        <v>6395</v>
      </c>
      <c r="Q42" s="5"/>
      <c r="R42" s="5">
        <v>2</v>
      </c>
      <c r="S42" s="5">
        <v>51</v>
      </c>
      <c r="T42" s="5">
        <v>50</v>
      </c>
      <c r="U42" s="5"/>
      <c r="V42" s="5">
        <v>546</v>
      </c>
      <c r="W42" s="5">
        <v>0</v>
      </c>
      <c r="X42" s="5">
        <v>441</v>
      </c>
      <c r="Y42" s="5">
        <v>0</v>
      </c>
      <c r="Z42" s="5">
        <v>832</v>
      </c>
      <c r="AA42" s="92">
        <v>200</v>
      </c>
      <c r="AB42" s="5"/>
      <c r="AC42" s="92">
        <v>297</v>
      </c>
      <c r="AD42" s="5">
        <v>0</v>
      </c>
      <c r="AE42" s="5"/>
      <c r="AF42" s="92">
        <v>92</v>
      </c>
      <c r="AG42" s="5"/>
      <c r="AH42" s="12"/>
    </row>
    <row r="43" spans="2:34" ht="18" customHeight="1" thickBot="1" x14ac:dyDescent="0.55000000000000004">
      <c r="B43" s="47" t="s">
        <v>7</v>
      </c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>
        <v>30</v>
      </c>
      <c r="P43" s="48">
        <v>7</v>
      </c>
      <c r="Q43" s="48"/>
      <c r="R43" s="48">
        <v>100</v>
      </c>
      <c r="S43" s="48">
        <v>11</v>
      </c>
      <c r="T43" s="48">
        <v>16</v>
      </c>
      <c r="U43" s="48"/>
      <c r="V43" s="48">
        <v>55</v>
      </c>
      <c r="W43" s="48">
        <v>165</v>
      </c>
      <c r="X43" s="48">
        <v>31</v>
      </c>
      <c r="Y43" s="48">
        <v>50</v>
      </c>
      <c r="Z43" s="48">
        <v>41</v>
      </c>
      <c r="AA43" s="48">
        <v>58</v>
      </c>
      <c r="AB43" s="93"/>
      <c r="AC43" s="48">
        <v>57</v>
      </c>
      <c r="AD43" s="48">
        <v>390</v>
      </c>
      <c r="AE43" s="48"/>
      <c r="AF43" s="48">
        <v>21</v>
      </c>
      <c r="AG43" s="48"/>
      <c r="AH43" s="96"/>
    </row>
    <row r="44" spans="2:34" ht="21.75" thickBot="1" x14ac:dyDescent="0.55000000000000004">
      <c r="B44" s="65" t="s">
        <v>9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>
        <v>555</v>
      </c>
      <c r="P44" s="108"/>
      <c r="Q44" s="49"/>
      <c r="R44" s="49">
        <v>294</v>
      </c>
      <c r="S44" s="49">
        <v>200</v>
      </c>
      <c r="T44" s="49">
        <v>200</v>
      </c>
      <c r="U44" s="108"/>
      <c r="V44" s="49">
        <v>0</v>
      </c>
      <c r="W44" s="49">
        <v>579</v>
      </c>
      <c r="X44" s="49">
        <v>700</v>
      </c>
      <c r="Y44" s="49"/>
      <c r="Z44" s="49"/>
      <c r="AA44" s="49">
        <v>1649</v>
      </c>
      <c r="AB44" s="49"/>
      <c r="AC44" s="49">
        <v>800</v>
      </c>
      <c r="AD44" s="108">
        <v>4376</v>
      </c>
      <c r="AE44" s="49"/>
      <c r="AF44" s="49"/>
      <c r="AG44" s="49"/>
      <c r="AH44" s="50"/>
    </row>
    <row r="45" spans="2:34" ht="21.75" thickBot="1" x14ac:dyDescent="0.55000000000000004">
      <c r="B45" s="66" t="s">
        <v>14</v>
      </c>
      <c r="C45" s="51"/>
      <c r="D45" s="51"/>
      <c r="E45" s="51"/>
      <c r="F45" s="51"/>
      <c r="G45" s="51">
        <f>G39+G42+G44</f>
        <v>0</v>
      </c>
      <c r="H45" s="51">
        <f>H39+H42+H44</f>
        <v>0</v>
      </c>
      <c r="I45" s="51">
        <f t="shared" ref="I45:AF45" si="4">I39+I42+I44</f>
        <v>0</v>
      </c>
      <c r="J45" s="51">
        <f t="shared" si="4"/>
        <v>0</v>
      </c>
      <c r="K45" s="51">
        <f t="shared" si="4"/>
        <v>0</v>
      </c>
      <c r="L45" s="51">
        <f t="shared" si="4"/>
        <v>0</v>
      </c>
      <c r="M45" s="51">
        <f t="shared" si="4"/>
        <v>0</v>
      </c>
      <c r="N45" s="51">
        <f t="shared" si="4"/>
        <v>0</v>
      </c>
      <c r="O45" s="51">
        <f t="shared" si="4"/>
        <v>1135</v>
      </c>
      <c r="P45" s="51">
        <f t="shared" si="4"/>
        <v>6510</v>
      </c>
      <c r="Q45" s="51">
        <f t="shared" si="4"/>
        <v>32</v>
      </c>
      <c r="R45" s="51">
        <f t="shared" si="4"/>
        <v>931</v>
      </c>
      <c r="S45" s="51">
        <f t="shared" si="4"/>
        <v>251</v>
      </c>
      <c r="T45" s="51">
        <f t="shared" si="4"/>
        <v>560</v>
      </c>
      <c r="U45" s="51">
        <f t="shared" si="4"/>
        <v>0</v>
      </c>
      <c r="V45" s="51">
        <f t="shared" si="4"/>
        <v>546</v>
      </c>
      <c r="W45" s="51">
        <f t="shared" si="4"/>
        <v>579</v>
      </c>
      <c r="X45" s="51">
        <f t="shared" si="4"/>
        <v>1141</v>
      </c>
      <c r="Y45" s="51">
        <f t="shared" si="4"/>
        <v>127</v>
      </c>
      <c r="Z45" s="51">
        <f t="shared" si="4"/>
        <v>832</v>
      </c>
      <c r="AA45" s="51">
        <f t="shared" si="4"/>
        <v>2049</v>
      </c>
      <c r="AB45" s="51">
        <f t="shared" si="4"/>
        <v>0</v>
      </c>
      <c r="AC45" s="51">
        <f t="shared" si="4"/>
        <v>1097</v>
      </c>
      <c r="AD45" s="51">
        <f t="shared" si="4"/>
        <v>4710</v>
      </c>
      <c r="AE45" s="51">
        <f t="shared" si="4"/>
        <v>400</v>
      </c>
      <c r="AF45" s="51">
        <f t="shared" si="4"/>
        <v>494</v>
      </c>
      <c r="AG45" s="51"/>
      <c r="AH45" s="52"/>
    </row>
    <row r="46" spans="2:34" ht="21.75" thickBot="1" x14ac:dyDescent="0.55000000000000004">
      <c r="B46" s="67" t="s">
        <v>6</v>
      </c>
      <c r="C46" s="53"/>
      <c r="D46" s="53"/>
      <c r="E46" s="53"/>
      <c r="F46" s="53"/>
      <c r="G46" s="112"/>
      <c r="H46" s="112"/>
      <c r="I46" s="53"/>
      <c r="J46" s="112"/>
      <c r="K46" s="112"/>
      <c r="L46" s="112"/>
      <c r="M46" s="112"/>
      <c r="N46" s="112">
        <v>64084</v>
      </c>
      <c r="O46" s="112">
        <f t="shared" ref="O46:T46" si="5">N46-O37</f>
        <v>62192</v>
      </c>
      <c r="P46" s="112">
        <f t="shared" si="5"/>
        <v>59613</v>
      </c>
      <c r="Q46" s="112">
        <f t="shared" si="5"/>
        <v>7447</v>
      </c>
      <c r="R46" s="112">
        <f t="shared" si="5"/>
        <v>5365</v>
      </c>
      <c r="S46" s="112">
        <f t="shared" si="5"/>
        <v>4896</v>
      </c>
      <c r="T46" s="112">
        <f t="shared" si="5"/>
        <v>3487</v>
      </c>
      <c r="U46" s="98"/>
      <c r="V46" s="79">
        <f>T46-V37</f>
        <v>1069</v>
      </c>
      <c r="W46" s="77">
        <f>31069-W37</f>
        <v>18947</v>
      </c>
      <c r="X46" s="77">
        <f>W46-X37</f>
        <v>17353</v>
      </c>
      <c r="Y46" s="77">
        <f>X46-Y37</f>
        <v>15633</v>
      </c>
      <c r="Z46" s="77">
        <f>Y46-Z37</f>
        <v>12499</v>
      </c>
      <c r="AA46" s="77">
        <f>Z46-AA37</f>
        <v>9780</v>
      </c>
      <c r="AB46" s="77"/>
      <c r="AC46" s="77">
        <f>AA46-AC37</f>
        <v>6298</v>
      </c>
      <c r="AD46" s="77">
        <f>36298-AD37</f>
        <v>22655</v>
      </c>
      <c r="AE46" s="77">
        <f>AD46-AE37</f>
        <v>20647</v>
      </c>
      <c r="AF46" s="77">
        <f>AE46-AF37</f>
        <v>17862</v>
      </c>
      <c r="AG46" s="53"/>
      <c r="AH46" s="54"/>
    </row>
    <row r="47" spans="2:34" ht="21.75" thickBot="1" x14ac:dyDescent="0.55000000000000004">
      <c r="B47" s="23" t="s">
        <v>31</v>
      </c>
      <c r="C47" s="55">
        <f>(C38+C81+C82+C83)-C37</f>
        <v>0</v>
      </c>
      <c r="D47" s="55"/>
      <c r="E47" s="55"/>
      <c r="F47" s="55"/>
      <c r="G47" s="55">
        <f>(G83+G82+G81+G38)-G37</f>
        <v>0</v>
      </c>
      <c r="H47" s="55">
        <f>(H83+H82+H81+H38)-H37</f>
        <v>0</v>
      </c>
      <c r="I47" s="55">
        <f t="shared" ref="I47:O47" si="6">(I83+I82+I81+I38)-I37</f>
        <v>0</v>
      </c>
      <c r="J47" s="55">
        <f t="shared" si="6"/>
        <v>0</v>
      </c>
      <c r="K47" s="55">
        <f t="shared" si="6"/>
        <v>0</v>
      </c>
      <c r="L47" s="55">
        <f>(L83+L82+L81+L38)-L37</f>
        <v>0</v>
      </c>
      <c r="M47" s="55">
        <f t="shared" si="6"/>
        <v>0</v>
      </c>
      <c r="N47" s="55">
        <f t="shared" si="6"/>
        <v>0</v>
      </c>
      <c r="O47" s="55">
        <f t="shared" si="6"/>
        <v>658</v>
      </c>
      <c r="P47" s="55">
        <f>(P83+P82+P81+P38)-P37</f>
        <v>203</v>
      </c>
      <c r="Q47" s="55">
        <f t="shared" ref="Q47:AG47" si="7">(Q83+Q82+Q81+Q38)-Q37</f>
        <v>2166</v>
      </c>
      <c r="R47" s="55">
        <f t="shared" si="7"/>
        <v>110</v>
      </c>
      <c r="S47" s="55">
        <f t="shared" si="7"/>
        <v>97</v>
      </c>
      <c r="T47" s="55">
        <f t="shared" si="7"/>
        <v>573</v>
      </c>
      <c r="U47" s="55">
        <f t="shared" si="7"/>
        <v>0</v>
      </c>
      <c r="V47" s="55">
        <f t="shared" si="7"/>
        <v>1303</v>
      </c>
      <c r="W47" s="55">
        <f t="shared" si="7"/>
        <v>447</v>
      </c>
      <c r="X47" s="55">
        <f t="shared" si="7"/>
        <v>265</v>
      </c>
      <c r="Y47" s="55">
        <f t="shared" si="7"/>
        <v>0</v>
      </c>
      <c r="Z47" s="55">
        <f t="shared" si="7"/>
        <v>1301</v>
      </c>
      <c r="AA47" s="55">
        <f t="shared" si="7"/>
        <v>820</v>
      </c>
      <c r="AB47" s="55">
        <f t="shared" si="7"/>
        <v>0</v>
      </c>
      <c r="AC47" s="55">
        <f t="shared" si="7"/>
        <v>689</v>
      </c>
      <c r="AD47" s="55">
        <f t="shared" si="7"/>
        <v>872</v>
      </c>
      <c r="AE47" s="55">
        <f t="shared" si="7"/>
        <v>304</v>
      </c>
      <c r="AF47" s="55">
        <f t="shared" si="7"/>
        <v>293</v>
      </c>
      <c r="AG47" s="55">
        <f t="shared" si="7"/>
        <v>0</v>
      </c>
      <c r="AH47" s="56">
        <f>SUM(C47:AG47)</f>
        <v>10101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2" t="s">
        <v>17</v>
      </c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/>
      <c r="X56" s="2"/>
      <c r="Y56" s="2"/>
      <c r="Z56" s="89"/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hidden="1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118"/>
    </row>
    <row r="60" spans="2:34" hidden="1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hidden="1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hidden="1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hidden="1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hidden="1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hidden="1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hidden="1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hidden="1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hidden="1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/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41912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2277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10101</v>
      </c>
    </row>
    <row r="74" spans="2:34" ht="24" customHeight="1" x14ac:dyDescent="0.5">
      <c r="B74" s="19" t="s">
        <v>3</v>
      </c>
      <c r="C74" s="21">
        <f>SUM(C38:AG38)</f>
        <v>9174</v>
      </c>
    </row>
    <row r="75" spans="2:34" ht="24" customHeight="1" x14ac:dyDescent="0.5">
      <c r="B75" s="19" t="s">
        <v>4</v>
      </c>
      <c r="C75" s="21">
        <f>SUM(C37:AG37)</f>
        <v>106222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>
        <v>48729</v>
      </c>
      <c r="R81" s="2"/>
      <c r="S81" s="2"/>
      <c r="T81" s="2"/>
      <c r="U81" s="2"/>
      <c r="V81" s="2">
        <v>36</v>
      </c>
      <c r="W81" s="101">
        <v>7023</v>
      </c>
      <c r="X81" s="89"/>
      <c r="Y81" s="2">
        <v>18</v>
      </c>
      <c r="Z81" s="89">
        <v>1489</v>
      </c>
      <c r="AA81" s="2"/>
      <c r="AB81" s="2"/>
      <c r="AC81" s="89">
        <v>1229</v>
      </c>
      <c r="AD81" s="2">
        <v>59</v>
      </c>
      <c r="AE81" s="2"/>
      <c r="AF81" s="2"/>
      <c r="AG81" s="2"/>
    </row>
    <row r="82" spans="2:33" ht="21.75" customHeight="1" x14ac:dyDescent="0.5">
      <c r="B82" s="19" t="s">
        <v>35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>
        <v>112</v>
      </c>
      <c r="P82" s="2">
        <v>2016</v>
      </c>
      <c r="Q82" s="89">
        <v>3240</v>
      </c>
      <c r="R82" s="2"/>
      <c r="S82" s="2"/>
      <c r="T82" s="2"/>
      <c r="U82" s="2"/>
      <c r="V82" s="2">
        <v>27</v>
      </c>
      <c r="W82" s="100"/>
      <c r="X82" s="2">
        <v>155</v>
      </c>
      <c r="Y82" s="2">
        <v>59</v>
      </c>
      <c r="Z82" s="89">
        <v>1035</v>
      </c>
      <c r="AA82" s="89">
        <v>1057</v>
      </c>
      <c r="AB82" s="2"/>
      <c r="AC82" s="89">
        <v>1841</v>
      </c>
      <c r="AD82" s="2"/>
      <c r="AE82" s="2">
        <v>413</v>
      </c>
      <c r="AF82" s="89"/>
      <c r="AG82" s="2"/>
    </row>
    <row r="83" spans="2:33" x14ac:dyDescent="0.5">
      <c r="B83" s="90" t="s">
        <v>41</v>
      </c>
      <c r="C83" s="91"/>
      <c r="D83" s="91"/>
      <c r="E83" s="91"/>
      <c r="F83" s="91"/>
      <c r="G83" s="91"/>
      <c r="H83" s="91"/>
      <c r="I83" s="91"/>
      <c r="J83" s="94"/>
      <c r="K83" s="91"/>
      <c r="L83" s="91"/>
      <c r="M83" s="91"/>
      <c r="N83" s="91"/>
      <c r="O83" s="91">
        <v>2279</v>
      </c>
      <c r="P83" s="94">
        <v>590</v>
      </c>
      <c r="Q83" s="94">
        <v>2135</v>
      </c>
      <c r="R83" s="91">
        <v>325</v>
      </c>
      <c r="S83" s="94">
        <v>548</v>
      </c>
      <c r="T83" s="91">
        <v>1700</v>
      </c>
      <c r="U83" s="94"/>
      <c r="V83" s="91">
        <v>3658</v>
      </c>
      <c r="W83" s="99">
        <v>5546</v>
      </c>
      <c r="X83" s="94">
        <v>1704</v>
      </c>
      <c r="Y83" s="94"/>
      <c r="Z83" s="91">
        <v>1911</v>
      </c>
      <c r="AA83" s="94">
        <v>2316</v>
      </c>
      <c r="AB83" s="91"/>
      <c r="AC83" s="94">
        <v>1069</v>
      </c>
      <c r="AD83" s="94">
        <v>13031</v>
      </c>
      <c r="AE83" s="94">
        <v>706</v>
      </c>
      <c r="AF83" s="94">
        <v>1093</v>
      </c>
      <c r="AG83" s="91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H84"/>
  <sheetViews>
    <sheetView topLeftCell="A2" zoomScale="95" zoomScaleNormal="95" workbookViewId="0">
      <pane xSplit="2" ySplit="3" topLeftCell="AC65" activePane="bottomRight" state="frozen"/>
      <selection activeCell="A2" sqref="A2"/>
      <selection pane="topRight" activeCell="C2" sqref="C2"/>
      <selection pane="bottomLeft" activeCell="A5" sqref="A5"/>
      <selection pane="bottomRight" activeCell="AF83" sqref="AF83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45778</v>
      </c>
      <c r="D4" s="27">
        <v>45779</v>
      </c>
      <c r="E4" s="27">
        <v>45780</v>
      </c>
      <c r="F4" s="27">
        <v>45781</v>
      </c>
      <c r="G4" s="27">
        <v>45782</v>
      </c>
      <c r="H4" s="27">
        <v>45783</v>
      </c>
      <c r="I4" s="27">
        <v>45784</v>
      </c>
      <c r="J4" s="27">
        <v>45785</v>
      </c>
      <c r="K4" s="27">
        <v>45786</v>
      </c>
      <c r="L4" s="27">
        <v>45787</v>
      </c>
      <c r="M4" s="27">
        <v>45788</v>
      </c>
      <c r="N4" s="27">
        <v>45789</v>
      </c>
      <c r="O4" s="27">
        <v>45790</v>
      </c>
      <c r="P4" s="27">
        <v>45791</v>
      </c>
      <c r="Q4" s="27">
        <v>45792</v>
      </c>
      <c r="R4" s="27">
        <v>45793</v>
      </c>
      <c r="S4" s="27">
        <v>45794</v>
      </c>
      <c r="T4" s="27">
        <v>45795</v>
      </c>
      <c r="U4" s="27">
        <v>45796</v>
      </c>
      <c r="V4" s="27">
        <v>45797</v>
      </c>
      <c r="W4" s="27">
        <v>45798</v>
      </c>
      <c r="X4" s="27">
        <v>45799</v>
      </c>
      <c r="Y4" s="27">
        <v>45800</v>
      </c>
      <c r="Z4" s="27">
        <v>45801</v>
      </c>
      <c r="AA4" s="27">
        <v>45802</v>
      </c>
      <c r="AB4" s="27">
        <v>45803</v>
      </c>
      <c r="AC4" s="27">
        <v>45804</v>
      </c>
      <c r="AD4" s="27">
        <v>45805</v>
      </c>
      <c r="AE4" s="27">
        <v>45806</v>
      </c>
      <c r="AF4" s="27">
        <v>45807</v>
      </c>
      <c r="AG4" s="27">
        <v>45808</v>
      </c>
      <c r="AH4" s="26" t="s">
        <v>12</v>
      </c>
    </row>
    <row r="5" spans="1:34" ht="21.75" thickBot="1" x14ac:dyDescent="0.55000000000000004">
      <c r="B5" s="58" t="s">
        <v>0</v>
      </c>
      <c r="C5" s="28">
        <f>C15</f>
        <v>4233</v>
      </c>
      <c r="D5" s="28">
        <f t="shared" ref="D5:AG5" si="0">D15</f>
        <v>644</v>
      </c>
      <c r="E5" s="28">
        <f t="shared" si="0"/>
        <v>0</v>
      </c>
      <c r="F5" s="28">
        <f t="shared" si="0"/>
        <v>1459</v>
      </c>
      <c r="G5" s="28">
        <f t="shared" si="0"/>
        <v>440</v>
      </c>
      <c r="H5" s="28">
        <f t="shared" si="0"/>
        <v>6835</v>
      </c>
      <c r="I5" s="28">
        <f t="shared" si="0"/>
        <v>809</v>
      </c>
      <c r="J5" s="28">
        <f t="shared" si="0"/>
        <v>3012</v>
      </c>
      <c r="K5" s="28">
        <f t="shared" si="0"/>
        <v>2946</v>
      </c>
      <c r="L5" s="28">
        <f t="shared" si="0"/>
        <v>4453</v>
      </c>
      <c r="M5" s="28">
        <f t="shared" si="0"/>
        <v>0</v>
      </c>
      <c r="N5" s="28">
        <f t="shared" si="0"/>
        <v>2096</v>
      </c>
      <c r="O5" s="28">
        <f t="shared" si="0"/>
        <v>6683</v>
      </c>
      <c r="P5" s="28">
        <f t="shared" si="0"/>
        <v>248</v>
      </c>
      <c r="Q5" s="28">
        <f t="shared" si="0"/>
        <v>4263</v>
      </c>
      <c r="R5" s="28">
        <f t="shared" si="0"/>
        <v>8654</v>
      </c>
      <c r="S5" s="28">
        <f t="shared" si="0"/>
        <v>0</v>
      </c>
      <c r="T5" s="28">
        <f t="shared" si="0"/>
        <v>494</v>
      </c>
      <c r="U5" s="28">
        <f t="shared" si="0"/>
        <v>1731</v>
      </c>
      <c r="V5" s="28">
        <f t="shared" si="0"/>
        <v>2689</v>
      </c>
      <c r="W5" s="28">
        <f t="shared" si="0"/>
        <v>729</v>
      </c>
      <c r="X5" s="28">
        <f t="shared" si="0"/>
        <v>0</v>
      </c>
      <c r="Y5" s="28">
        <f t="shared" si="0"/>
        <v>0</v>
      </c>
      <c r="Z5" s="28">
        <f t="shared" si="0"/>
        <v>0</v>
      </c>
      <c r="AA5" s="28">
        <f t="shared" si="0"/>
        <v>893</v>
      </c>
      <c r="AB5" s="28">
        <f t="shared" si="0"/>
        <v>2884</v>
      </c>
      <c r="AC5" s="28">
        <f t="shared" si="0"/>
        <v>0</v>
      </c>
      <c r="AD5" s="28">
        <f t="shared" si="0"/>
        <v>198</v>
      </c>
      <c r="AE5" s="28">
        <f t="shared" si="0"/>
        <v>2327</v>
      </c>
      <c r="AF5" s="28">
        <f t="shared" si="0"/>
        <v>511</v>
      </c>
      <c r="AG5" s="28">
        <f t="shared" si="0"/>
        <v>0</v>
      </c>
      <c r="AH5" s="29">
        <f>SUM(C5:AG5)</f>
        <v>59231</v>
      </c>
    </row>
    <row r="6" spans="1:34" ht="21.75" thickBot="1" x14ac:dyDescent="0.55000000000000004">
      <c r="B6" s="122"/>
      <c r="C6" s="83" t="s">
        <v>650</v>
      </c>
      <c r="D6" s="83" t="s">
        <v>653</v>
      </c>
      <c r="E6" s="83"/>
      <c r="F6" s="83" t="s">
        <v>655</v>
      </c>
      <c r="G6" s="83" t="s">
        <v>659</v>
      </c>
      <c r="H6" s="83" t="s">
        <v>662</v>
      </c>
      <c r="I6" s="83" t="s">
        <v>668</v>
      </c>
      <c r="J6" s="83" t="s">
        <v>669</v>
      </c>
      <c r="K6" s="83" t="s">
        <v>673</v>
      </c>
      <c r="L6" s="83" t="s">
        <v>681</v>
      </c>
      <c r="M6" s="83"/>
      <c r="N6" s="83" t="s">
        <v>686</v>
      </c>
      <c r="O6" s="83" t="s">
        <v>689</v>
      </c>
      <c r="P6" s="83" t="s">
        <v>693</v>
      </c>
      <c r="Q6" s="83" t="s">
        <v>695</v>
      </c>
      <c r="R6" s="83" t="s">
        <v>697</v>
      </c>
      <c r="S6" s="83"/>
      <c r="T6" s="83" t="s">
        <v>701</v>
      </c>
      <c r="U6" s="83" t="s">
        <v>705</v>
      </c>
      <c r="V6" s="83" t="s">
        <v>707</v>
      </c>
      <c r="W6" s="83" t="s">
        <v>710</v>
      </c>
      <c r="X6" s="83"/>
      <c r="Y6" s="83"/>
      <c r="Z6" s="83"/>
      <c r="AA6" s="83" t="s">
        <v>405</v>
      </c>
      <c r="AB6" s="83" t="s">
        <v>718</v>
      </c>
      <c r="AC6" s="28"/>
      <c r="AD6" s="28" t="s">
        <v>721</v>
      </c>
      <c r="AE6" s="83" t="s">
        <v>723</v>
      </c>
      <c r="AF6" s="83" t="s">
        <v>728</v>
      </c>
      <c r="AG6" s="83"/>
      <c r="AH6" s="123"/>
    </row>
    <row r="7" spans="1:34" x14ac:dyDescent="0.5">
      <c r="B7" s="122"/>
      <c r="C7" s="84" t="s">
        <v>651</v>
      </c>
      <c r="D7" s="84" t="s">
        <v>654</v>
      </c>
      <c r="E7" s="84"/>
      <c r="F7" s="84" t="s">
        <v>656</v>
      </c>
      <c r="G7" s="84" t="s">
        <v>660</v>
      </c>
      <c r="H7" s="84" t="s">
        <v>663</v>
      </c>
      <c r="I7" s="84"/>
      <c r="J7" s="84" t="s">
        <v>670</v>
      </c>
      <c r="K7" s="84" t="s">
        <v>674</v>
      </c>
      <c r="L7" s="84" t="s">
        <v>682</v>
      </c>
      <c r="M7" s="84"/>
      <c r="N7" s="84" t="s">
        <v>687</v>
      </c>
      <c r="O7" s="84" t="s">
        <v>690</v>
      </c>
      <c r="P7" s="84" t="s">
        <v>694</v>
      </c>
      <c r="Q7" s="84" t="s">
        <v>696</v>
      </c>
      <c r="R7" s="84" t="s">
        <v>698</v>
      </c>
      <c r="S7" s="84"/>
      <c r="T7" s="84" t="s">
        <v>702</v>
      </c>
      <c r="U7" s="84" t="s">
        <v>706</v>
      </c>
      <c r="V7" s="84" t="s">
        <v>708</v>
      </c>
      <c r="W7" s="84" t="s">
        <v>711</v>
      </c>
      <c r="X7" s="84"/>
      <c r="Y7" s="84"/>
      <c r="Z7" s="84"/>
      <c r="AA7" s="84" t="s">
        <v>714</v>
      </c>
      <c r="AB7" s="84" t="s">
        <v>719</v>
      </c>
      <c r="AC7" s="84"/>
      <c r="AD7" s="84" t="s">
        <v>722</v>
      </c>
      <c r="AE7" s="84" t="s">
        <v>724</v>
      </c>
      <c r="AF7" s="84" t="s">
        <v>729</v>
      </c>
      <c r="AG7" s="84"/>
      <c r="AH7" s="123"/>
    </row>
    <row r="8" spans="1:34" x14ac:dyDescent="0.5">
      <c r="B8" s="122"/>
      <c r="C8" s="84" t="s">
        <v>652</v>
      </c>
      <c r="D8" s="84"/>
      <c r="E8" s="84"/>
      <c r="F8" s="84" t="s">
        <v>486</v>
      </c>
      <c r="G8" s="84" t="s">
        <v>661</v>
      </c>
      <c r="H8" s="84" t="s">
        <v>664</v>
      </c>
      <c r="I8" s="84"/>
      <c r="J8" s="84" t="s">
        <v>671</v>
      </c>
      <c r="K8" s="84" t="s">
        <v>675</v>
      </c>
      <c r="L8" s="84" t="s">
        <v>685</v>
      </c>
      <c r="M8" s="84"/>
      <c r="N8" s="84" t="s">
        <v>688</v>
      </c>
      <c r="O8" s="84" t="s">
        <v>691</v>
      </c>
      <c r="P8" s="84"/>
      <c r="Q8" s="84"/>
      <c r="R8" s="84" t="s">
        <v>699</v>
      </c>
      <c r="S8" s="84"/>
      <c r="T8" s="84" t="s">
        <v>703</v>
      </c>
      <c r="U8" s="84"/>
      <c r="V8" s="84" t="s">
        <v>392</v>
      </c>
      <c r="W8" s="84" t="s">
        <v>486</v>
      </c>
      <c r="X8" s="84"/>
      <c r="Y8" s="84"/>
      <c r="Z8" s="84"/>
      <c r="AA8" s="84" t="s">
        <v>715</v>
      </c>
      <c r="AB8" s="84" t="s">
        <v>720</v>
      </c>
      <c r="AC8" s="84"/>
      <c r="AD8" s="84"/>
      <c r="AE8" s="84" t="s">
        <v>725</v>
      </c>
      <c r="AF8" s="84" t="s">
        <v>730</v>
      </c>
      <c r="AG8" s="84"/>
      <c r="AH8" s="123"/>
    </row>
    <row r="9" spans="1:34" x14ac:dyDescent="0.5">
      <c r="B9" s="122"/>
      <c r="C9" s="84"/>
      <c r="D9" s="84"/>
      <c r="E9" s="84"/>
      <c r="F9" s="84" t="s">
        <v>657</v>
      </c>
      <c r="G9" s="84"/>
      <c r="H9" s="84" t="s">
        <v>518</v>
      </c>
      <c r="I9" s="84"/>
      <c r="J9" s="84" t="s">
        <v>672</v>
      </c>
      <c r="K9" s="84" t="s">
        <v>676</v>
      </c>
      <c r="L9" s="84" t="s">
        <v>683</v>
      </c>
      <c r="M9" s="84"/>
      <c r="N9" s="84"/>
      <c r="O9" s="84" t="s">
        <v>692</v>
      </c>
      <c r="P9" s="84"/>
      <c r="Q9" s="84"/>
      <c r="R9" s="84" t="s">
        <v>700</v>
      </c>
      <c r="S9" s="84"/>
      <c r="T9" s="84" t="s">
        <v>704</v>
      </c>
      <c r="U9" s="84"/>
      <c r="V9" s="84" t="s">
        <v>709</v>
      </c>
      <c r="W9" s="84" t="s">
        <v>712</v>
      </c>
      <c r="X9" s="84"/>
      <c r="Y9" s="84"/>
      <c r="Z9" s="84"/>
      <c r="AA9" s="84" t="s">
        <v>716</v>
      </c>
      <c r="AB9" s="84"/>
      <c r="AC9" s="84"/>
      <c r="AD9" s="84"/>
      <c r="AE9" s="84" t="s">
        <v>726</v>
      </c>
      <c r="AF9" s="84" t="s">
        <v>731</v>
      </c>
      <c r="AG9" s="84"/>
      <c r="AH9" s="123"/>
    </row>
    <row r="10" spans="1:34" x14ac:dyDescent="0.5">
      <c r="B10" s="122"/>
      <c r="C10" s="84"/>
      <c r="D10" s="84"/>
      <c r="E10" s="84"/>
      <c r="F10" s="84" t="s">
        <v>658</v>
      </c>
      <c r="G10" s="84"/>
      <c r="H10" s="84" t="s">
        <v>665</v>
      </c>
      <c r="I10" s="84"/>
      <c r="J10" s="84"/>
      <c r="K10" s="84" t="s">
        <v>677</v>
      </c>
      <c r="L10" s="84" t="s">
        <v>684</v>
      </c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 t="s">
        <v>713</v>
      </c>
      <c r="X10" s="84"/>
      <c r="Y10" s="84"/>
      <c r="Z10" s="84"/>
      <c r="AA10" s="84" t="s">
        <v>717</v>
      </c>
      <c r="AB10" s="84"/>
      <c r="AC10" s="84"/>
      <c r="AD10" s="84"/>
      <c r="AE10" s="84" t="s">
        <v>727</v>
      </c>
      <c r="AF10" s="84" t="s">
        <v>732</v>
      </c>
      <c r="AG10" s="84"/>
      <c r="AH10" s="123"/>
    </row>
    <row r="11" spans="1:34" x14ac:dyDescent="0.5">
      <c r="B11" s="122"/>
      <c r="C11" s="84"/>
      <c r="D11" s="84"/>
      <c r="E11" s="84"/>
      <c r="F11" s="84"/>
      <c r="G11" s="84"/>
      <c r="H11" s="84" t="s">
        <v>666</v>
      </c>
      <c r="I11" s="84"/>
      <c r="J11" s="84"/>
      <c r="K11" s="84" t="s">
        <v>678</v>
      </c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 t="s">
        <v>733</v>
      </c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 t="s">
        <v>667</v>
      </c>
      <c r="I12" s="84"/>
      <c r="J12" s="84"/>
      <c r="K12" s="84" t="s">
        <v>679</v>
      </c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 t="s">
        <v>680</v>
      </c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4233</v>
      </c>
      <c r="D15" s="31">
        <f t="shared" ref="D15:AG15" si="1">SUM(D16:D22)</f>
        <v>644</v>
      </c>
      <c r="E15" s="31">
        <f t="shared" si="1"/>
        <v>0</v>
      </c>
      <c r="F15" s="31">
        <f t="shared" si="1"/>
        <v>1459</v>
      </c>
      <c r="G15" s="31">
        <f t="shared" si="1"/>
        <v>440</v>
      </c>
      <c r="H15" s="31">
        <f t="shared" si="1"/>
        <v>6835</v>
      </c>
      <c r="I15" s="31">
        <f t="shared" si="1"/>
        <v>809</v>
      </c>
      <c r="J15" s="31">
        <f t="shared" si="1"/>
        <v>3012</v>
      </c>
      <c r="K15" s="31">
        <f t="shared" si="1"/>
        <v>2946</v>
      </c>
      <c r="L15" s="31">
        <f t="shared" si="1"/>
        <v>4453</v>
      </c>
      <c r="M15" s="31">
        <f t="shared" si="1"/>
        <v>0</v>
      </c>
      <c r="N15" s="31">
        <f t="shared" si="1"/>
        <v>2096</v>
      </c>
      <c r="O15" s="31">
        <f>SUM(O16:O22)</f>
        <v>6683</v>
      </c>
      <c r="P15" s="31">
        <f t="shared" si="1"/>
        <v>248</v>
      </c>
      <c r="Q15" s="31">
        <f t="shared" si="1"/>
        <v>4263</v>
      </c>
      <c r="R15" s="31">
        <f t="shared" si="1"/>
        <v>8654</v>
      </c>
      <c r="S15" s="31">
        <f t="shared" si="1"/>
        <v>0</v>
      </c>
      <c r="T15" s="31">
        <f t="shared" si="1"/>
        <v>494</v>
      </c>
      <c r="U15" s="31">
        <f t="shared" si="1"/>
        <v>1731</v>
      </c>
      <c r="V15" s="31">
        <f t="shared" si="1"/>
        <v>2689</v>
      </c>
      <c r="W15" s="31">
        <f t="shared" si="1"/>
        <v>729</v>
      </c>
      <c r="X15" s="31">
        <f t="shared" si="1"/>
        <v>0</v>
      </c>
      <c r="Y15" s="31">
        <f t="shared" si="1"/>
        <v>0</v>
      </c>
      <c r="Z15" s="31">
        <f t="shared" si="1"/>
        <v>0</v>
      </c>
      <c r="AA15" s="31">
        <f t="shared" si="1"/>
        <v>893</v>
      </c>
      <c r="AB15" s="31">
        <f t="shared" si="1"/>
        <v>2884</v>
      </c>
      <c r="AC15" s="31">
        <f t="shared" si="1"/>
        <v>0</v>
      </c>
      <c r="AD15" s="31">
        <f t="shared" si="1"/>
        <v>198</v>
      </c>
      <c r="AE15" s="31">
        <f t="shared" si="1"/>
        <v>2327</v>
      </c>
      <c r="AF15" s="31">
        <f t="shared" si="1"/>
        <v>511</v>
      </c>
      <c r="AG15" s="31">
        <f t="shared" si="1"/>
        <v>0</v>
      </c>
      <c r="AH15" s="32">
        <f>SUM(C15:AG15)</f>
        <v>59231</v>
      </c>
    </row>
    <row r="16" spans="1:34" x14ac:dyDescent="0.5">
      <c r="B16" s="60" t="s">
        <v>18</v>
      </c>
      <c r="C16" s="30"/>
      <c r="D16" s="30">
        <v>292</v>
      </c>
      <c r="E16" s="30"/>
      <c r="F16" s="30">
        <v>214</v>
      </c>
      <c r="G16" s="30">
        <v>130</v>
      </c>
      <c r="H16" s="30">
        <v>132</v>
      </c>
      <c r="I16" s="30"/>
      <c r="J16" s="30">
        <v>190</v>
      </c>
      <c r="K16" s="30">
        <v>1010</v>
      </c>
      <c r="L16" s="30">
        <v>1125</v>
      </c>
      <c r="M16" s="30"/>
      <c r="N16" s="30">
        <v>338</v>
      </c>
      <c r="O16" s="30">
        <v>1597</v>
      </c>
      <c r="P16" s="30">
        <v>66</v>
      </c>
      <c r="Q16" s="30"/>
      <c r="R16" s="30">
        <v>256</v>
      </c>
      <c r="S16" s="30"/>
      <c r="T16" s="30">
        <v>342</v>
      </c>
      <c r="U16" s="30">
        <v>1511</v>
      </c>
      <c r="V16" s="30">
        <v>688</v>
      </c>
      <c r="W16" s="30">
        <v>578</v>
      </c>
      <c r="X16" s="30"/>
      <c r="Y16" s="30"/>
      <c r="Z16" s="30"/>
      <c r="AA16" s="30"/>
      <c r="AB16" s="30">
        <v>151</v>
      </c>
      <c r="AC16" s="30"/>
      <c r="AD16" s="30">
        <v>180</v>
      </c>
      <c r="AE16" s="30">
        <v>211</v>
      </c>
      <c r="AF16" s="30">
        <v>174</v>
      </c>
      <c r="AG16" s="30"/>
      <c r="AH16" s="10"/>
    </row>
    <row r="17" spans="2:34" x14ac:dyDescent="0.5">
      <c r="B17" s="61" t="s">
        <v>19</v>
      </c>
      <c r="C17" s="22">
        <v>3625</v>
      </c>
      <c r="D17" s="22"/>
      <c r="E17" s="22"/>
      <c r="F17" s="22">
        <v>104</v>
      </c>
      <c r="G17" s="22"/>
      <c r="H17" s="22"/>
      <c r="I17" s="22"/>
      <c r="J17" s="22">
        <v>2285</v>
      </c>
      <c r="K17" s="22">
        <v>45</v>
      </c>
      <c r="L17" s="22"/>
      <c r="M17" s="22"/>
      <c r="N17" s="22">
        <v>135</v>
      </c>
      <c r="O17" s="22"/>
      <c r="P17" s="22">
        <v>182</v>
      </c>
      <c r="Q17" s="22"/>
      <c r="R17" s="22"/>
      <c r="S17" s="22"/>
      <c r="T17" s="22">
        <v>75</v>
      </c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10"/>
    </row>
    <row r="18" spans="2:34" x14ac:dyDescent="0.5">
      <c r="B18" s="61" t="s">
        <v>20</v>
      </c>
      <c r="C18" s="22"/>
      <c r="D18" s="22"/>
      <c r="E18" s="22"/>
      <c r="F18" s="22">
        <v>1141</v>
      </c>
      <c r="G18" s="22">
        <v>310</v>
      </c>
      <c r="H18" s="22">
        <v>6588</v>
      </c>
      <c r="I18" s="22">
        <v>809</v>
      </c>
      <c r="J18" s="22">
        <v>148</v>
      </c>
      <c r="K18" s="22">
        <v>1891</v>
      </c>
      <c r="L18" s="22">
        <v>3240</v>
      </c>
      <c r="M18" s="22"/>
      <c r="N18" s="22">
        <v>1623</v>
      </c>
      <c r="O18" s="22">
        <v>5086</v>
      </c>
      <c r="P18" s="22"/>
      <c r="Q18" s="22">
        <v>2855</v>
      </c>
      <c r="R18" s="22">
        <v>8350</v>
      </c>
      <c r="S18" s="22"/>
      <c r="T18" s="22">
        <v>77</v>
      </c>
      <c r="U18" s="22"/>
      <c r="V18" s="22">
        <v>2001</v>
      </c>
      <c r="W18" s="22">
        <v>151</v>
      </c>
      <c r="X18" s="22"/>
      <c r="Y18" s="22"/>
      <c r="Z18" s="22"/>
      <c r="AA18" s="22">
        <v>540</v>
      </c>
      <c r="AB18" s="22">
        <v>2733</v>
      </c>
      <c r="AC18" s="22"/>
      <c r="AD18" s="22">
        <v>18</v>
      </c>
      <c r="AE18" s="22">
        <v>996</v>
      </c>
      <c r="AF18" s="22">
        <v>70</v>
      </c>
      <c r="AG18" s="22"/>
      <c r="AH18" s="10"/>
    </row>
    <row r="19" spans="2:34" x14ac:dyDescent="0.5">
      <c r="B19" s="61" t="s">
        <v>21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>
        <v>1408</v>
      </c>
      <c r="R19" s="22">
        <v>48</v>
      </c>
      <c r="S19" s="22"/>
      <c r="T19" s="22"/>
      <c r="U19" s="22">
        <v>220</v>
      </c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22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>
        <v>730</v>
      </c>
      <c r="AF20" s="22">
        <v>45</v>
      </c>
      <c r="AG20" s="22"/>
      <c r="AH20" s="10"/>
    </row>
    <row r="21" spans="2:34" x14ac:dyDescent="0.5">
      <c r="B21" s="61" t="s">
        <v>32</v>
      </c>
      <c r="C21" s="22">
        <v>608</v>
      </c>
      <c r="D21" s="22">
        <v>352</v>
      </c>
      <c r="E21" s="22"/>
      <c r="F21" s="22"/>
      <c r="G21" s="22"/>
      <c r="H21" s="22">
        <v>115</v>
      </c>
      <c r="I21" s="22"/>
      <c r="J21" s="22">
        <v>389</v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>
        <v>353</v>
      </c>
      <c r="AB21" s="22"/>
      <c r="AC21" s="22"/>
      <c r="AD21" s="22"/>
      <c r="AE21" s="22">
        <v>320</v>
      </c>
      <c r="AF21" s="22">
        <v>37</v>
      </c>
      <c r="AG21" s="22"/>
      <c r="AH21" s="10"/>
    </row>
    <row r="22" spans="2:34" ht="21.75" thickBot="1" x14ac:dyDescent="0.55000000000000004">
      <c r="B22" s="62" t="s">
        <v>33</v>
      </c>
      <c r="C22" s="33"/>
      <c r="D22" s="33"/>
      <c r="E22" s="33"/>
      <c r="F22" s="33"/>
      <c r="G22" s="33"/>
      <c r="H22" s="33"/>
      <c r="I22" s="33"/>
      <c r="J22" s="33"/>
      <c r="K22" s="33"/>
      <c r="L22" s="33">
        <v>88</v>
      </c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>
        <v>70</v>
      </c>
      <c r="AF22" s="33">
        <v>185</v>
      </c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41</v>
      </c>
      <c r="D23" s="37">
        <f t="shared" ref="D23:AG23" si="2">SUM(D24:D36)</f>
        <v>0</v>
      </c>
      <c r="E23" s="37">
        <f t="shared" si="2"/>
        <v>0</v>
      </c>
      <c r="F23" s="37">
        <f t="shared" si="2"/>
        <v>5</v>
      </c>
      <c r="G23" s="37">
        <f t="shared" si="2"/>
        <v>68</v>
      </c>
      <c r="H23" s="37">
        <f t="shared" si="2"/>
        <v>85</v>
      </c>
      <c r="I23" s="37">
        <f t="shared" si="2"/>
        <v>28</v>
      </c>
      <c r="J23" s="37">
        <f t="shared" si="2"/>
        <v>257</v>
      </c>
      <c r="K23" s="37">
        <f t="shared" si="2"/>
        <v>218</v>
      </c>
      <c r="L23" s="37">
        <f t="shared" si="2"/>
        <v>332</v>
      </c>
      <c r="M23" s="37">
        <f t="shared" si="2"/>
        <v>0</v>
      </c>
      <c r="N23" s="37">
        <f t="shared" si="2"/>
        <v>145</v>
      </c>
      <c r="O23" s="37">
        <f t="shared" si="2"/>
        <v>77</v>
      </c>
      <c r="P23" s="37">
        <f t="shared" si="2"/>
        <v>60</v>
      </c>
      <c r="Q23" s="37">
        <f t="shared" si="2"/>
        <v>207</v>
      </c>
      <c r="R23" s="37">
        <f t="shared" si="2"/>
        <v>69</v>
      </c>
      <c r="S23" s="37">
        <f t="shared" si="2"/>
        <v>0</v>
      </c>
      <c r="T23" s="37">
        <f t="shared" si="2"/>
        <v>0</v>
      </c>
      <c r="U23" s="37">
        <f t="shared" si="2"/>
        <v>99</v>
      </c>
      <c r="V23" s="37">
        <f t="shared" si="2"/>
        <v>235</v>
      </c>
      <c r="W23" s="37">
        <f t="shared" si="2"/>
        <v>63</v>
      </c>
      <c r="X23" s="37">
        <f t="shared" si="2"/>
        <v>0</v>
      </c>
      <c r="Y23" s="37">
        <f t="shared" si="2"/>
        <v>0</v>
      </c>
      <c r="Z23" s="37">
        <f t="shared" si="2"/>
        <v>0</v>
      </c>
      <c r="AA23" s="37">
        <f t="shared" si="2"/>
        <v>0</v>
      </c>
      <c r="AB23" s="37">
        <f t="shared" si="2"/>
        <v>74</v>
      </c>
      <c r="AC23" s="37">
        <f t="shared" si="2"/>
        <v>182</v>
      </c>
      <c r="AD23" s="37">
        <f t="shared" si="2"/>
        <v>144</v>
      </c>
      <c r="AE23" s="37">
        <f t="shared" si="2"/>
        <v>202</v>
      </c>
      <c r="AF23" s="37">
        <f t="shared" si="2"/>
        <v>502</v>
      </c>
      <c r="AG23" s="37">
        <f t="shared" si="2"/>
        <v>0</v>
      </c>
      <c r="AH23" s="38">
        <f>SUM(C23:AG23)</f>
        <v>3093</v>
      </c>
    </row>
    <row r="24" spans="2:34" x14ac:dyDescent="0.5">
      <c r="B24" s="35" t="s">
        <v>24</v>
      </c>
      <c r="C24" s="36">
        <v>6</v>
      </c>
      <c r="D24" s="36"/>
      <c r="E24" s="36"/>
      <c r="F24" s="36">
        <v>5</v>
      </c>
      <c r="G24" s="36">
        <v>50</v>
      </c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/>
      <c r="E25" s="8"/>
      <c r="F25" s="8"/>
      <c r="G25" s="8">
        <v>5</v>
      </c>
      <c r="H25" s="8">
        <v>70</v>
      </c>
      <c r="I25" s="8"/>
      <c r="J25" s="8">
        <v>50</v>
      </c>
      <c r="K25" s="8"/>
      <c r="L25" s="8"/>
      <c r="M25" s="8"/>
      <c r="N25" s="8">
        <v>45</v>
      </c>
      <c r="O25" s="8"/>
      <c r="P25" s="8"/>
      <c r="Q25" s="8"/>
      <c r="R25" s="8"/>
      <c r="S25" s="8"/>
      <c r="T25" s="8"/>
      <c r="U25" s="8"/>
      <c r="V25" s="8"/>
      <c r="W25" s="8">
        <v>50</v>
      </c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6"/>
    </row>
    <row r="26" spans="2:34" x14ac:dyDescent="0.5">
      <c r="B26" s="11" t="s">
        <v>26</v>
      </c>
      <c r="C26" s="8">
        <v>35</v>
      </c>
      <c r="D26" s="8"/>
      <c r="E26" s="8"/>
      <c r="F26" s="8"/>
      <c r="G26" s="8"/>
      <c r="H26" s="8">
        <v>15</v>
      </c>
      <c r="I26" s="8"/>
      <c r="J26" s="8">
        <v>160</v>
      </c>
      <c r="K26" s="8">
        <v>75</v>
      </c>
      <c r="L26" s="8"/>
      <c r="M26" s="8"/>
      <c r="N26" s="8">
        <v>50</v>
      </c>
      <c r="O26" s="8"/>
      <c r="P26" s="8"/>
      <c r="Q26" s="8"/>
      <c r="R26" s="8"/>
      <c r="S26" s="8"/>
      <c r="T26" s="8"/>
      <c r="U26" s="8"/>
      <c r="V26" s="8"/>
      <c r="W26" s="8">
        <v>13</v>
      </c>
      <c r="X26" s="8"/>
      <c r="Y26" s="8"/>
      <c r="Z26" s="8"/>
      <c r="AA26" s="8"/>
      <c r="AB26" s="8"/>
      <c r="AC26" s="8"/>
      <c r="AD26" s="8"/>
      <c r="AE26" s="8"/>
      <c r="AF26" s="8">
        <v>162</v>
      </c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/>
      <c r="H27" s="8"/>
      <c r="I27" s="8"/>
      <c r="J27" s="8"/>
      <c r="K27" s="8">
        <v>63</v>
      </c>
      <c r="L27" s="8"/>
      <c r="M27" s="8"/>
      <c r="N27" s="8">
        <v>30</v>
      </c>
      <c r="O27" s="8"/>
      <c r="P27" s="8"/>
      <c r="Q27" s="8"/>
      <c r="R27" s="8"/>
      <c r="S27" s="8"/>
      <c r="T27" s="8"/>
      <c r="U27" s="8"/>
      <c r="V27" s="8">
        <v>160</v>
      </c>
      <c r="W27" s="8"/>
      <c r="X27" s="8"/>
      <c r="Y27" s="8"/>
      <c r="Z27" s="8"/>
      <c r="AA27" s="8"/>
      <c r="AB27" s="8">
        <v>37</v>
      </c>
      <c r="AC27" s="8"/>
      <c r="AD27" s="8"/>
      <c r="AE27" s="8"/>
      <c r="AF27" s="8">
        <v>300</v>
      </c>
      <c r="AG27" s="8"/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/>
      <c r="I28" s="8"/>
      <c r="J28" s="8"/>
      <c r="K28" s="8">
        <v>50</v>
      </c>
      <c r="L28" s="8"/>
      <c r="M28" s="8"/>
      <c r="N28" s="8"/>
      <c r="O28" s="8"/>
      <c r="P28" s="8"/>
      <c r="Q28" s="8"/>
      <c r="R28" s="8"/>
      <c r="S28" s="8"/>
      <c r="T28" s="8"/>
      <c r="U28" s="8"/>
      <c r="V28" s="8">
        <v>50</v>
      </c>
      <c r="W28" s="8"/>
      <c r="X28" s="8"/>
      <c r="Y28" s="8"/>
      <c r="Z28" s="8"/>
      <c r="AA28" s="8"/>
      <c r="AB28" s="8">
        <v>31</v>
      </c>
      <c r="AC28" s="8">
        <v>57</v>
      </c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>
        <v>30</v>
      </c>
      <c r="L29" s="8">
        <v>50</v>
      </c>
      <c r="M29" s="8"/>
      <c r="N29" s="8"/>
      <c r="O29" s="8"/>
      <c r="P29" s="8"/>
      <c r="Q29" s="8">
        <v>60</v>
      </c>
      <c r="R29" s="8">
        <v>6</v>
      </c>
      <c r="S29" s="8"/>
      <c r="T29" s="8"/>
      <c r="U29" s="8"/>
      <c r="V29" s="8">
        <v>25</v>
      </c>
      <c r="W29" s="8"/>
      <c r="X29" s="8"/>
      <c r="Y29" s="8"/>
      <c r="Z29" s="8"/>
      <c r="AA29" s="8"/>
      <c r="AB29" s="8">
        <v>6</v>
      </c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>
        <v>47</v>
      </c>
      <c r="K30" s="8"/>
      <c r="L30" s="8"/>
      <c r="M30" s="8"/>
      <c r="N30" s="8"/>
      <c r="O30" s="8"/>
      <c r="P30" s="8"/>
      <c r="Q30" s="8">
        <v>60</v>
      </c>
      <c r="R30" s="8">
        <v>50</v>
      </c>
      <c r="S30" s="8"/>
      <c r="T30" s="8"/>
      <c r="U30" s="8">
        <v>93</v>
      </c>
      <c r="V30" s="8"/>
      <c r="W30" s="8"/>
      <c r="X30" s="8"/>
      <c r="Y30" s="8"/>
      <c r="Z30" s="8"/>
      <c r="AA30" s="8"/>
      <c r="AB30" s="8"/>
      <c r="AC30" s="8"/>
      <c r="AD30" s="8"/>
      <c r="AE30" s="8">
        <v>133</v>
      </c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>
        <v>20</v>
      </c>
      <c r="O31" s="8"/>
      <c r="P31" s="8"/>
      <c r="Q31" s="8">
        <v>32</v>
      </c>
      <c r="R31" s="8">
        <v>13</v>
      </c>
      <c r="S31" s="8"/>
      <c r="T31" s="8"/>
      <c r="U31" s="8">
        <v>6</v>
      </c>
      <c r="V31" s="8"/>
      <c r="W31" s="8"/>
      <c r="X31" s="8"/>
      <c r="Y31" s="8"/>
      <c r="Z31" s="8"/>
      <c r="AA31" s="8"/>
      <c r="AB31" s="8"/>
      <c r="AC31" s="8">
        <v>50</v>
      </c>
      <c r="AD31" s="8">
        <v>50</v>
      </c>
      <c r="AE31" s="8">
        <v>63</v>
      </c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>
        <v>215</v>
      </c>
      <c r="M32" s="8"/>
      <c r="N32" s="8"/>
      <c r="O32" s="8"/>
      <c r="P32" s="8">
        <v>60</v>
      </c>
      <c r="Q32" s="8">
        <v>35</v>
      </c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>
        <v>50</v>
      </c>
      <c r="AD32" s="8">
        <v>60</v>
      </c>
      <c r="AE32" s="8">
        <v>6</v>
      </c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/>
      <c r="G33" s="8"/>
      <c r="H33" s="8"/>
      <c r="I33" s="8">
        <v>2</v>
      </c>
      <c r="J33" s="8"/>
      <c r="K33" s="8"/>
      <c r="L33" s="8">
        <v>51</v>
      </c>
      <c r="M33" s="8"/>
      <c r="N33" s="8"/>
      <c r="O33" s="8">
        <v>77</v>
      </c>
      <c r="P33" s="8"/>
      <c r="Q33" s="8">
        <v>20</v>
      </c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>
        <v>25</v>
      </c>
      <c r="AD33" s="8">
        <v>34</v>
      </c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/>
      <c r="F34" s="8"/>
      <c r="G34" s="8"/>
      <c r="H34" s="8"/>
      <c r="I34" s="8">
        <v>6</v>
      </c>
      <c r="J34" s="8"/>
      <c r="K34" s="8"/>
      <c r="L34" s="8">
        <v>6</v>
      </c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>
        <v>40</v>
      </c>
      <c r="AG34" s="8"/>
      <c r="AH34" s="6"/>
    </row>
    <row r="35" spans="2:34" x14ac:dyDescent="0.5">
      <c r="B35" s="11" t="s">
        <v>48</v>
      </c>
      <c r="C35" s="8"/>
      <c r="D35" s="8"/>
      <c r="E35" s="8"/>
      <c r="F35" s="8"/>
      <c r="G35" s="8">
        <v>13</v>
      </c>
      <c r="H35" s="8"/>
      <c r="I35" s="8">
        <v>20</v>
      </c>
      <c r="J35" s="8"/>
      <c r="K35" s="8"/>
      <c r="L35" s="8">
        <v>10</v>
      </c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>
        <v>3229</v>
      </c>
      <c r="D37" s="87">
        <v>1218</v>
      </c>
      <c r="E37" s="87"/>
      <c r="F37" s="87">
        <v>1009</v>
      </c>
      <c r="G37" s="87">
        <v>580</v>
      </c>
      <c r="H37" s="87">
        <v>5873</v>
      </c>
      <c r="I37" s="87">
        <v>993</v>
      </c>
      <c r="J37" s="87">
        <v>4937</v>
      </c>
      <c r="K37" s="87">
        <v>2248</v>
      </c>
      <c r="L37" s="87">
        <v>2006</v>
      </c>
      <c r="M37" s="87"/>
      <c r="N37" s="87">
        <v>2268</v>
      </c>
      <c r="O37" s="87">
        <v>3504</v>
      </c>
      <c r="P37" s="87">
        <v>4743</v>
      </c>
      <c r="Q37" s="87">
        <v>2454</v>
      </c>
      <c r="R37" s="87">
        <v>2164</v>
      </c>
      <c r="S37" s="45"/>
      <c r="T37" s="45">
        <v>2613</v>
      </c>
      <c r="U37" s="87">
        <v>5618</v>
      </c>
      <c r="V37" s="78">
        <v>1767</v>
      </c>
      <c r="W37" s="44">
        <v>4002</v>
      </c>
      <c r="X37" s="87"/>
      <c r="Y37" s="45"/>
      <c r="Z37" s="87"/>
      <c r="AA37" s="87">
        <v>4012</v>
      </c>
      <c r="AB37" s="87">
        <v>4124</v>
      </c>
      <c r="AC37" s="44">
        <v>548</v>
      </c>
      <c r="AD37" s="44"/>
      <c r="AE37" s="44">
        <v>2656</v>
      </c>
      <c r="AF37" s="44">
        <v>2040</v>
      </c>
      <c r="AG37" s="44"/>
      <c r="AH37" s="46">
        <f>SUM(C37:AG37)</f>
        <v>64606</v>
      </c>
    </row>
    <row r="38" spans="2:34" x14ac:dyDescent="0.5">
      <c r="B38" s="42" t="s">
        <v>3</v>
      </c>
      <c r="C38" s="105"/>
      <c r="D38" s="113">
        <v>692</v>
      </c>
      <c r="E38" s="88"/>
      <c r="F38" s="43"/>
      <c r="G38" s="88">
        <v>292</v>
      </c>
      <c r="H38" s="43">
        <v>257</v>
      </c>
      <c r="I38" s="43">
        <v>281</v>
      </c>
      <c r="J38" s="88">
        <v>2984</v>
      </c>
      <c r="K38" s="43">
        <v>208</v>
      </c>
      <c r="L38" s="43">
        <v>236</v>
      </c>
      <c r="M38" s="43"/>
      <c r="N38" s="88">
        <v>305</v>
      </c>
      <c r="O38" s="43"/>
      <c r="P38" s="88">
        <v>2662</v>
      </c>
      <c r="Q38" s="88">
        <v>1403</v>
      </c>
      <c r="R38" s="43"/>
      <c r="S38" s="43"/>
      <c r="T38" s="43"/>
      <c r="U38" s="88">
        <v>2559</v>
      </c>
      <c r="V38" s="43"/>
      <c r="W38" s="43">
        <v>1311</v>
      </c>
      <c r="X38" s="88"/>
      <c r="Y38" s="43"/>
      <c r="Z38" s="88"/>
      <c r="AA38" s="88">
        <v>3708</v>
      </c>
      <c r="AB38" s="43">
        <v>0</v>
      </c>
      <c r="AC38" s="95">
        <v>108</v>
      </c>
      <c r="AD38" s="95"/>
      <c r="AE38" s="95">
        <v>797</v>
      </c>
      <c r="AF38" s="95">
        <v>0</v>
      </c>
      <c r="AG38" s="95"/>
      <c r="AH38" s="7"/>
    </row>
    <row r="39" spans="2:34" x14ac:dyDescent="0.5">
      <c r="B39" s="15" t="s">
        <v>10</v>
      </c>
      <c r="C39" s="9"/>
      <c r="D39" s="9">
        <v>109</v>
      </c>
      <c r="E39" s="9"/>
      <c r="F39" s="9"/>
      <c r="G39" s="9">
        <v>549</v>
      </c>
      <c r="H39" s="9">
        <v>100</v>
      </c>
      <c r="I39" s="9">
        <v>23</v>
      </c>
      <c r="J39" s="9">
        <v>0</v>
      </c>
      <c r="K39" s="9">
        <v>45</v>
      </c>
      <c r="L39" s="9">
        <v>123</v>
      </c>
      <c r="M39" s="9"/>
      <c r="N39" s="9">
        <v>100</v>
      </c>
      <c r="O39" s="9"/>
      <c r="P39" s="9"/>
      <c r="Q39" s="9"/>
      <c r="R39" s="9"/>
      <c r="S39" s="9"/>
      <c r="T39" s="9"/>
      <c r="U39" s="9">
        <v>135</v>
      </c>
      <c r="V39" s="9"/>
      <c r="W39" s="9">
        <v>0</v>
      </c>
      <c r="X39" s="9"/>
      <c r="Y39" s="9"/>
      <c r="Z39" s="9"/>
      <c r="AA39" s="9">
        <v>68</v>
      </c>
      <c r="AB39" s="9">
        <v>0</v>
      </c>
      <c r="AC39" s="9">
        <v>30</v>
      </c>
      <c r="AD39" s="9"/>
      <c r="AE39" s="9">
        <v>188</v>
      </c>
      <c r="AF39" s="9">
        <v>0</v>
      </c>
      <c r="AG39" s="9"/>
      <c r="AH39" s="14"/>
    </row>
    <row r="40" spans="2:34" x14ac:dyDescent="0.5">
      <c r="B40" s="15" t="s">
        <v>11</v>
      </c>
      <c r="C40" s="9"/>
      <c r="D40" s="9">
        <v>13</v>
      </c>
      <c r="E40" s="9"/>
      <c r="F40" s="9"/>
      <c r="G40" s="9">
        <v>2</v>
      </c>
      <c r="H40" s="9">
        <v>5</v>
      </c>
      <c r="I40" s="9">
        <v>7</v>
      </c>
      <c r="J40" s="9">
        <v>58</v>
      </c>
      <c r="K40" s="9">
        <v>4</v>
      </c>
      <c r="L40" s="9">
        <v>5</v>
      </c>
      <c r="M40" s="9"/>
      <c r="N40" s="9">
        <v>6</v>
      </c>
      <c r="O40" s="9"/>
      <c r="P40" s="9"/>
      <c r="Q40" s="9"/>
      <c r="R40" s="9"/>
      <c r="S40" s="9"/>
      <c r="T40" s="9"/>
      <c r="U40" s="9">
        <v>46</v>
      </c>
      <c r="V40" s="9"/>
      <c r="W40" s="9">
        <v>34</v>
      </c>
      <c r="X40" s="9"/>
      <c r="Y40" s="9"/>
      <c r="Z40" s="9"/>
      <c r="AA40" s="9">
        <v>99</v>
      </c>
      <c r="AB40" s="9"/>
      <c r="AC40" s="9">
        <v>3</v>
      </c>
      <c r="AD40" s="9"/>
      <c r="AE40" s="9">
        <v>14</v>
      </c>
      <c r="AF40" s="9">
        <v>0</v>
      </c>
      <c r="AG40" s="9"/>
      <c r="AH40" s="7"/>
    </row>
    <row r="41" spans="2:34" x14ac:dyDescent="0.5">
      <c r="B41" s="16" t="s">
        <v>5</v>
      </c>
      <c r="C41" s="97">
        <f>SUM(C37-C38)</f>
        <v>3229</v>
      </c>
      <c r="D41" s="97">
        <f t="shared" ref="D41:AG41" si="3">SUM(D37-D38)</f>
        <v>526</v>
      </c>
      <c r="E41" s="97">
        <f t="shared" si="3"/>
        <v>0</v>
      </c>
      <c r="F41" s="97">
        <f t="shared" si="3"/>
        <v>1009</v>
      </c>
      <c r="G41" s="97">
        <f t="shared" si="3"/>
        <v>288</v>
      </c>
      <c r="H41" s="97">
        <f t="shared" si="3"/>
        <v>5616</v>
      </c>
      <c r="I41" s="97">
        <f t="shared" si="3"/>
        <v>712</v>
      </c>
      <c r="J41" s="97">
        <f t="shared" si="3"/>
        <v>1953</v>
      </c>
      <c r="K41" s="97">
        <f t="shared" si="3"/>
        <v>2040</v>
      </c>
      <c r="L41" s="97">
        <f t="shared" ref="L41" si="4">SUM(L37-L38)</f>
        <v>1770</v>
      </c>
      <c r="M41" s="97"/>
      <c r="N41" s="97">
        <f t="shared" si="3"/>
        <v>1963</v>
      </c>
      <c r="O41" s="97">
        <f t="shared" si="3"/>
        <v>3504</v>
      </c>
      <c r="P41" s="97">
        <f t="shared" si="3"/>
        <v>2081</v>
      </c>
      <c r="Q41" s="97">
        <f>SUM(Q37-Q38)</f>
        <v>1051</v>
      </c>
      <c r="R41" s="97">
        <f t="shared" si="3"/>
        <v>2164</v>
      </c>
      <c r="S41" s="97">
        <f t="shared" si="3"/>
        <v>0</v>
      </c>
      <c r="T41" s="97">
        <f t="shared" si="3"/>
        <v>2613</v>
      </c>
      <c r="U41" s="97">
        <f t="shared" si="3"/>
        <v>3059</v>
      </c>
      <c r="V41" s="97">
        <f t="shared" si="3"/>
        <v>1767</v>
      </c>
      <c r="W41" s="97">
        <f t="shared" si="3"/>
        <v>2691</v>
      </c>
      <c r="X41" s="97">
        <f t="shared" si="3"/>
        <v>0</v>
      </c>
      <c r="Y41" s="97">
        <f t="shared" si="3"/>
        <v>0</v>
      </c>
      <c r="Z41" s="97">
        <f t="shared" si="3"/>
        <v>0</v>
      </c>
      <c r="AA41" s="97">
        <f t="shared" si="3"/>
        <v>304</v>
      </c>
      <c r="AB41" s="97">
        <f t="shared" si="3"/>
        <v>4124</v>
      </c>
      <c r="AC41" s="97">
        <f t="shared" si="3"/>
        <v>440</v>
      </c>
      <c r="AD41" s="97">
        <f t="shared" si="3"/>
        <v>0</v>
      </c>
      <c r="AE41" s="97">
        <f t="shared" si="3"/>
        <v>1859</v>
      </c>
      <c r="AF41" s="97">
        <f t="shared" si="3"/>
        <v>2040</v>
      </c>
      <c r="AG41" s="97">
        <f t="shared" si="3"/>
        <v>0</v>
      </c>
      <c r="AH41" s="13">
        <f>SUM(C41:AG41)</f>
        <v>46803</v>
      </c>
    </row>
    <row r="42" spans="2:34" x14ac:dyDescent="0.5">
      <c r="B42" s="16" t="s">
        <v>8</v>
      </c>
      <c r="C42" s="5"/>
      <c r="D42" s="5">
        <v>0</v>
      </c>
      <c r="E42" s="5"/>
      <c r="F42" s="5"/>
      <c r="G42" s="5">
        <v>0</v>
      </c>
      <c r="H42" s="5">
        <v>123</v>
      </c>
      <c r="I42" s="5">
        <v>0</v>
      </c>
      <c r="J42" s="5">
        <v>251</v>
      </c>
      <c r="K42" s="92">
        <v>100</v>
      </c>
      <c r="L42" s="5">
        <v>0</v>
      </c>
      <c r="M42" s="5"/>
      <c r="N42" s="5">
        <v>0</v>
      </c>
      <c r="O42" s="5">
        <v>1230</v>
      </c>
      <c r="P42" s="5"/>
      <c r="Q42" s="5">
        <v>22</v>
      </c>
      <c r="R42" s="5">
        <v>374</v>
      </c>
      <c r="S42" s="5"/>
      <c r="T42" s="5">
        <v>515</v>
      </c>
      <c r="U42" s="5">
        <v>827</v>
      </c>
      <c r="V42" s="5"/>
      <c r="W42" s="5">
        <v>320</v>
      </c>
      <c r="X42" s="5"/>
      <c r="Y42" s="5"/>
      <c r="Z42" s="5"/>
      <c r="AA42" s="5">
        <v>0</v>
      </c>
      <c r="AB42" s="5">
        <v>678</v>
      </c>
      <c r="AC42" s="92">
        <v>130</v>
      </c>
      <c r="AD42" s="92"/>
      <c r="AE42" s="5">
        <v>0</v>
      </c>
      <c r="AF42" s="5">
        <v>571</v>
      </c>
      <c r="AG42" s="5"/>
      <c r="AH42" s="12"/>
    </row>
    <row r="43" spans="2:34" ht="18" customHeight="1" thickBot="1" x14ac:dyDescent="0.55000000000000004">
      <c r="B43" s="47" t="s">
        <v>7</v>
      </c>
      <c r="C43" s="48"/>
      <c r="D43" s="48">
        <v>12</v>
      </c>
      <c r="E43" s="48"/>
      <c r="F43" s="48"/>
      <c r="G43" s="48">
        <v>4</v>
      </c>
      <c r="H43" s="48">
        <v>100</v>
      </c>
      <c r="I43" s="48">
        <v>14</v>
      </c>
      <c r="J43" s="48">
        <v>35</v>
      </c>
      <c r="K43" s="48">
        <v>47</v>
      </c>
      <c r="L43" s="48">
        <v>120</v>
      </c>
      <c r="M43" s="48"/>
      <c r="N43" s="93">
        <v>1118</v>
      </c>
      <c r="O43" s="48">
        <v>96</v>
      </c>
      <c r="P43" s="48"/>
      <c r="Q43" s="48">
        <v>130</v>
      </c>
      <c r="R43" s="48">
        <v>55</v>
      </c>
      <c r="S43" s="48"/>
      <c r="T43" s="48">
        <v>62</v>
      </c>
      <c r="U43" s="48">
        <v>80</v>
      </c>
      <c r="V43" s="48"/>
      <c r="W43" s="48">
        <v>61</v>
      </c>
      <c r="X43" s="48"/>
      <c r="Y43" s="48"/>
      <c r="Z43" s="48"/>
      <c r="AA43" s="48">
        <v>8</v>
      </c>
      <c r="AB43" s="93">
        <v>74</v>
      </c>
      <c r="AC43" s="48">
        <v>12</v>
      </c>
      <c r="AD43" s="48"/>
      <c r="AE43" s="48">
        <v>45</v>
      </c>
      <c r="AF43" s="48">
        <v>63</v>
      </c>
      <c r="AG43" s="48"/>
      <c r="AH43" s="96"/>
    </row>
    <row r="44" spans="2:34" ht="21.75" thickBot="1" x14ac:dyDescent="0.55000000000000004">
      <c r="B44" s="65" t="s">
        <v>9</v>
      </c>
      <c r="C44" s="49"/>
      <c r="D44" s="49"/>
      <c r="E44" s="49"/>
      <c r="F44" s="49"/>
      <c r="G44" s="49"/>
      <c r="H44" s="108">
        <v>3509</v>
      </c>
      <c r="I44" s="49">
        <v>0</v>
      </c>
      <c r="J44" s="49">
        <v>265</v>
      </c>
      <c r="K44" s="49">
        <v>470</v>
      </c>
      <c r="L44" s="49">
        <v>1000</v>
      </c>
      <c r="M44" s="49"/>
      <c r="N44" s="49">
        <v>100</v>
      </c>
      <c r="O44" s="49"/>
      <c r="P44" s="49"/>
      <c r="Q44" s="49">
        <v>300</v>
      </c>
      <c r="R44" s="49">
        <v>0</v>
      </c>
      <c r="S44" s="49"/>
      <c r="T44" s="49">
        <v>678</v>
      </c>
      <c r="U44" s="49">
        <v>0</v>
      </c>
      <c r="V44" s="49"/>
      <c r="W44" s="49">
        <v>870</v>
      </c>
      <c r="X44" s="49"/>
      <c r="Y44" s="49"/>
      <c r="Z44" s="49"/>
      <c r="AA44" s="49">
        <v>0</v>
      </c>
      <c r="AB44" s="49">
        <v>1151</v>
      </c>
      <c r="AC44" s="49"/>
      <c r="AD44" s="49"/>
      <c r="AE44" s="49">
        <v>123</v>
      </c>
      <c r="AF44" s="49"/>
      <c r="AG44" s="49"/>
      <c r="AH44" s="50"/>
    </row>
    <row r="45" spans="2:34" ht="21.75" thickBot="1" x14ac:dyDescent="0.55000000000000004">
      <c r="B45" s="66" t="s">
        <v>14</v>
      </c>
      <c r="C45" s="51">
        <f>C44+C42+C39</f>
        <v>0</v>
      </c>
      <c r="D45" s="51">
        <f>D44+D42+D39</f>
        <v>109</v>
      </c>
      <c r="E45" s="51">
        <f t="shared" ref="E45:AG45" si="5">E44+E42+E39</f>
        <v>0</v>
      </c>
      <c r="F45" s="51">
        <f t="shared" si="5"/>
        <v>0</v>
      </c>
      <c r="G45" s="51">
        <f t="shared" si="5"/>
        <v>549</v>
      </c>
      <c r="H45" s="51">
        <f t="shared" si="5"/>
        <v>3732</v>
      </c>
      <c r="I45" s="51">
        <f t="shared" si="5"/>
        <v>23</v>
      </c>
      <c r="J45" s="51">
        <f t="shared" si="5"/>
        <v>516</v>
      </c>
      <c r="K45" s="51">
        <f t="shared" si="5"/>
        <v>615</v>
      </c>
      <c r="L45" s="51">
        <f t="shared" ref="L45" si="6">L44+L42+L39</f>
        <v>1123</v>
      </c>
      <c r="M45" s="51"/>
      <c r="N45" s="51">
        <f t="shared" si="5"/>
        <v>200</v>
      </c>
      <c r="O45" s="51">
        <f t="shared" si="5"/>
        <v>1230</v>
      </c>
      <c r="P45" s="51">
        <f t="shared" si="5"/>
        <v>0</v>
      </c>
      <c r="Q45" s="51">
        <f t="shared" si="5"/>
        <v>322</v>
      </c>
      <c r="R45" s="51">
        <f t="shared" si="5"/>
        <v>374</v>
      </c>
      <c r="S45" s="51">
        <f t="shared" si="5"/>
        <v>0</v>
      </c>
      <c r="T45" s="51">
        <f t="shared" si="5"/>
        <v>1193</v>
      </c>
      <c r="U45" s="51">
        <f t="shared" si="5"/>
        <v>962</v>
      </c>
      <c r="V45" s="51">
        <f t="shared" si="5"/>
        <v>0</v>
      </c>
      <c r="W45" s="51">
        <f t="shared" si="5"/>
        <v>1190</v>
      </c>
      <c r="X45" s="51">
        <f t="shared" si="5"/>
        <v>0</v>
      </c>
      <c r="Y45" s="51">
        <f t="shared" si="5"/>
        <v>0</v>
      </c>
      <c r="Z45" s="51">
        <f t="shared" si="5"/>
        <v>0</v>
      </c>
      <c r="AA45" s="51">
        <f t="shared" si="5"/>
        <v>68</v>
      </c>
      <c r="AB45" s="51">
        <f t="shared" si="5"/>
        <v>1829</v>
      </c>
      <c r="AC45" s="51">
        <f t="shared" si="5"/>
        <v>160</v>
      </c>
      <c r="AD45" s="51">
        <f t="shared" si="5"/>
        <v>0</v>
      </c>
      <c r="AE45" s="51">
        <f t="shared" si="5"/>
        <v>311</v>
      </c>
      <c r="AF45" s="51">
        <f t="shared" si="5"/>
        <v>571</v>
      </c>
      <c r="AG45" s="51">
        <f t="shared" si="5"/>
        <v>0</v>
      </c>
      <c r="AH45" s="52"/>
    </row>
    <row r="46" spans="2:34" ht="21.75" thickBot="1" x14ac:dyDescent="0.55000000000000004">
      <c r="B46" s="67" t="s">
        <v>6</v>
      </c>
      <c r="C46" s="77">
        <f>17862-C37</f>
        <v>14633</v>
      </c>
      <c r="D46" s="77">
        <f t="shared" ref="D46:L46" si="7">C46-D37</f>
        <v>13415</v>
      </c>
      <c r="E46" s="77">
        <f t="shared" si="7"/>
        <v>13415</v>
      </c>
      <c r="F46" s="112">
        <f t="shared" si="7"/>
        <v>12406</v>
      </c>
      <c r="G46" s="112">
        <f t="shared" si="7"/>
        <v>11826</v>
      </c>
      <c r="H46" s="112">
        <f t="shared" si="7"/>
        <v>5953</v>
      </c>
      <c r="I46" s="112">
        <f t="shared" si="7"/>
        <v>4960</v>
      </c>
      <c r="J46" s="112">
        <f t="shared" si="7"/>
        <v>23</v>
      </c>
      <c r="K46" s="112">
        <f>30023-K37</f>
        <v>27775</v>
      </c>
      <c r="L46" s="112">
        <f t="shared" si="7"/>
        <v>25769</v>
      </c>
      <c r="M46" s="53"/>
      <c r="N46" s="112">
        <f>L46-N37</f>
        <v>23501</v>
      </c>
      <c r="O46" s="112">
        <f>N46-O37</f>
        <v>19997</v>
      </c>
      <c r="P46" s="112">
        <f>O46-P37</f>
        <v>15254</v>
      </c>
      <c r="Q46" s="112">
        <f>P46-Q37</f>
        <v>12800</v>
      </c>
      <c r="R46" s="112">
        <f>Q46-R37</f>
        <v>10636</v>
      </c>
      <c r="S46" s="112">
        <f>R46-S37</f>
        <v>10636</v>
      </c>
      <c r="T46" s="112">
        <f>R46-T37</f>
        <v>8023</v>
      </c>
      <c r="U46" s="112">
        <f>T46-U37</f>
        <v>2405</v>
      </c>
      <c r="V46" s="79">
        <f>U46-V37</f>
        <v>638</v>
      </c>
      <c r="W46" s="79">
        <f>30638-W37</f>
        <v>26636</v>
      </c>
      <c r="X46" s="77"/>
      <c r="Y46" s="77"/>
      <c r="Z46" s="77">
        <v>25432</v>
      </c>
      <c r="AA46" s="77">
        <f t="shared" ref="AA46:AF46" si="8">Z46-AA37</f>
        <v>21420</v>
      </c>
      <c r="AB46" s="77">
        <f t="shared" si="8"/>
        <v>17296</v>
      </c>
      <c r="AC46" s="77">
        <f t="shared" si="8"/>
        <v>16748</v>
      </c>
      <c r="AD46" s="77">
        <f t="shared" si="8"/>
        <v>16748</v>
      </c>
      <c r="AE46" s="77">
        <f t="shared" si="8"/>
        <v>14092</v>
      </c>
      <c r="AF46" s="77">
        <f t="shared" si="8"/>
        <v>12052</v>
      </c>
      <c r="AG46" s="77">
        <f>30648-AG37</f>
        <v>30648</v>
      </c>
      <c r="AH46" s="54"/>
    </row>
    <row r="47" spans="2:34" ht="21.75" thickBot="1" x14ac:dyDescent="0.55000000000000004">
      <c r="B47" s="23" t="s">
        <v>31</v>
      </c>
      <c r="C47" s="55">
        <f>(C38+C81+C82+C83)-C37</f>
        <v>1404</v>
      </c>
      <c r="D47" s="55">
        <f>(D38+D81+D82+D83)-D37</f>
        <v>143</v>
      </c>
      <c r="E47" s="55">
        <f>(E38+E81+E82+E83)-E37</f>
        <v>1853</v>
      </c>
      <c r="F47" s="55">
        <f t="shared" ref="F47:AG47" si="9">(F38+F81+F82+F83)-F37</f>
        <v>450</v>
      </c>
      <c r="G47" s="55">
        <f t="shared" si="9"/>
        <v>152</v>
      </c>
      <c r="H47" s="55">
        <f t="shared" si="9"/>
        <v>1219</v>
      </c>
      <c r="I47" s="55">
        <f t="shared" si="9"/>
        <v>97</v>
      </c>
      <c r="J47" s="55">
        <f t="shared" si="9"/>
        <v>1059</v>
      </c>
      <c r="K47" s="55">
        <f t="shared" si="9"/>
        <v>718</v>
      </c>
      <c r="L47" s="55">
        <f t="shared" si="9"/>
        <v>551</v>
      </c>
      <c r="M47" s="55">
        <f t="shared" si="9"/>
        <v>0</v>
      </c>
      <c r="N47" s="55">
        <f t="shared" si="9"/>
        <v>1415</v>
      </c>
      <c r="O47" s="55">
        <f t="shared" si="9"/>
        <v>1431</v>
      </c>
      <c r="P47" s="55">
        <f t="shared" si="9"/>
        <v>1181</v>
      </c>
      <c r="Q47" s="55">
        <f t="shared" si="9"/>
        <v>393</v>
      </c>
      <c r="R47" s="55">
        <f t="shared" si="9"/>
        <v>1179</v>
      </c>
      <c r="S47" s="55">
        <f t="shared" si="9"/>
        <v>3146</v>
      </c>
      <c r="T47" s="55">
        <f t="shared" si="9"/>
        <v>1049</v>
      </c>
      <c r="U47" s="55">
        <f t="shared" si="9"/>
        <v>3068</v>
      </c>
      <c r="V47" s="55">
        <f t="shared" si="9"/>
        <v>741</v>
      </c>
      <c r="W47" s="55">
        <f t="shared" si="9"/>
        <v>1184</v>
      </c>
      <c r="X47" s="55">
        <f t="shared" si="9"/>
        <v>0</v>
      </c>
      <c r="Y47" s="55">
        <f t="shared" si="9"/>
        <v>0</v>
      </c>
      <c r="Z47" s="55">
        <f t="shared" si="9"/>
        <v>0</v>
      </c>
      <c r="AA47" s="55">
        <f t="shared" si="9"/>
        <v>49</v>
      </c>
      <c r="AB47" s="55">
        <f t="shared" si="9"/>
        <v>2055</v>
      </c>
      <c r="AC47" s="55">
        <f t="shared" si="9"/>
        <v>260</v>
      </c>
      <c r="AD47" s="55">
        <f t="shared" si="9"/>
        <v>0</v>
      </c>
      <c r="AE47" s="55">
        <f t="shared" si="9"/>
        <v>575</v>
      </c>
      <c r="AF47" s="55">
        <f t="shared" si="9"/>
        <v>2046</v>
      </c>
      <c r="AG47" s="55">
        <f t="shared" si="9"/>
        <v>5950</v>
      </c>
      <c r="AH47" s="56">
        <f>SUM(C47:AG47)</f>
        <v>33368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>
        <v>45536</v>
      </c>
      <c r="D49" s="71">
        <v>45537</v>
      </c>
      <c r="E49" s="71">
        <v>45538</v>
      </c>
      <c r="F49" s="71">
        <v>45539</v>
      </c>
      <c r="G49" s="71">
        <v>45540</v>
      </c>
      <c r="H49" s="71">
        <v>45541</v>
      </c>
      <c r="I49" s="71">
        <v>45542</v>
      </c>
      <c r="J49" s="71">
        <v>45543</v>
      </c>
      <c r="K49" s="71">
        <v>45544</v>
      </c>
      <c r="L49" s="71">
        <v>45545</v>
      </c>
      <c r="M49" s="71">
        <v>45546</v>
      </c>
      <c r="N49" s="71">
        <v>45547</v>
      </c>
      <c r="O49" s="71">
        <v>45548</v>
      </c>
      <c r="P49" s="71">
        <v>45549</v>
      </c>
      <c r="Q49" s="71">
        <v>45550</v>
      </c>
      <c r="R49" s="71">
        <v>45551</v>
      </c>
      <c r="S49" s="71">
        <v>45552</v>
      </c>
      <c r="T49" s="71">
        <v>45553</v>
      </c>
      <c r="U49" s="71">
        <v>45554</v>
      </c>
      <c r="V49" s="71">
        <v>45555</v>
      </c>
      <c r="W49" s="71">
        <v>45556</v>
      </c>
      <c r="X49" s="71">
        <v>45557</v>
      </c>
      <c r="Y49" s="71">
        <v>45558</v>
      </c>
      <c r="Z49" s="71">
        <v>45559</v>
      </c>
      <c r="AA49" s="71">
        <v>45560</v>
      </c>
      <c r="AB49" s="71">
        <v>45561</v>
      </c>
      <c r="AC49" s="71">
        <v>45562</v>
      </c>
      <c r="AD49" s="71">
        <v>45563</v>
      </c>
      <c r="AE49" s="71">
        <v>45564</v>
      </c>
      <c r="AF49" s="71">
        <v>45565</v>
      </c>
      <c r="AG49" s="71"/>
      <c r="AH49" s="72" t="s">
        <v>17</v>
      </c>
    </row>
    <row r="50" spans="2:34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 t="s">
        <v>39</v>
      </c>
      <c r="AA50" s="69"/>
      <c r="AB50" s="69"/>
      <c r="AC50" s="69"/>
      <c r="AD50" s="69"/>
      <c r="AE50" s="69"/>
      <c r="AF50" s="69"/>
      <c r="AG50" s="69"/>
      <c r="AH50" s="118"/>
    </row>
    <row r="51" spans="2:34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/>
      <c r="X56" s="2"/>
      <c r="Y56" s="2"/>
      <c r="Z56" s="89">
        <v>1263</v>
      </c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118"/>
    </row>
    <row r="60" spans="2:34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/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SUM(C38:AG38,C81:AG83)</f>
        <v>97974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3093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33368</v>
      </c>
    </row>
    <row r="74" spans="2:34" ht="24" customHeight="1" x14ac:dyDescent="0.5">
      <c r="B74" s="19" t="s">
        <v>3</v>
      </c>
      <c r="C74" s="21">
        <f>SUM(C38:AG38)</f>
        <v>17803</v>
      </c>
    </row>
    <row r="75" spans="2:34" ht="24" customHeight="1" x14ac:dyDescent="0.5">
      <c r="B75" s="19" t="s">
        <v>4</v>
      </c>
      <c r="C75" s="21">
        <f>SUM(C37:AG37)</f>
        <v>64606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/>
      <c r="D81" s="2"/>
      <c r="E81" s="2"/>
      <c r="F81" s="2"/>
      <c r="G81" s="2"/>
      <c r="H81" s="2"/>
      <c r="I81" s="2"/>
      <c r="J81" s="2"/>
      <c r="K81" s="2">
        <v>52</v>
      </c>
      <c r="L81" s="2"/>
      <c r="M81" s="2"/>
      <c r="N81" s="2"/>
      <c r="O81" s="2">
        <v>132</v>
      </c>
      <c r="P81" s="2"/>
      <c r="Q81" s="2"/>
      <c r="R81" s="2">
        <v>120</v>
      </c>
      <c r="S81" s="2">
        <v>670</v>
      </c>
      <c r="T81" s="2">
        <v>1065</v>
      </c>
      <c r="U81" s="89"/>
      <c r="V81" s="2">
        <v>220</v>
      </c>
      <c r="W81" s="81">
        <v>1635</v>
      </c>
      <c r="X81" s="2"/>
      <c r="Y81" s="2"/>
      <c r="Z81" s="89"/>
      <c r="AA81" s="2"/>
      <c r="AB81" s="2">
        <v>2906</v>
      </c>
      <c r="AC81" s="2"/>
      <c r="AD81" s="2"/>
      <c r="AE81" s="2">
        <v>45</v>
      </c>
      <c r="AF81" s="89">
        <v>3730</v>
      </c>
      <c r="AG81" s="89">
        <v>1640</v>
      </c>
    </row>
    <row r="82" spans="2:33" x14ac:dyDescent="0.5">
      <c r="B82" s="19" t="s">
        <v>35</v>
      </c>
      <c r="C82" s="2"/>
      <c r="D82" s="2">
        <v>25</v>
      </c>
      <c r="E82" s="2"/>
      <c r="F82" s="2"/>
      <c r="G82" s="2"/>
      <c r="H82" s="2"/>
      <c r="I82" s="2"/>
      <c r="J82" s="2"/>
      <c r="K82" s="2">
        <v>110</v>
      </c>
      <c r="L82" s="2"/>
      <c r="M82" s="2"/>
      <c r="N82" s="2"/>
      <c r="O82" s="2"/>
      <c r="P82" s="2"/>
      <c r="Q82" s="2">
        <v>36</v>
      </c>
      <c r="R82" s="2">
        <v>112</v>
      </c>
      <c r="S82" s="2"/>
      <c r="T82" s="2"/>
      <c r="U82" s="2"/>
      <c r="V82" s="89">
        <v>1600</v>
      </c>
      <c r="W82" s="2"/>
      <c r="X82" s="89"/>
      <c r="Y82" s="89"/>
      <c r="Z82" s="2"/>
      <c r="AA82" s="2"/>
      <c r="AB82" s="2"/>
      <c r="AC82" s="2"/>
      <c r="AD82" s="2"/>
      <c r="AE82" s="2">
        <v>62</v>
      </c>
      <c r="AF82" s="89"/>
      <c r="AG82" s="2"/>
    </row>
    <row r="83" spans="2:33" x14ac:dyDescent="0.5">
      <c r="B83" s="90" t="s">
        <v>41</v>
      </c>
      <c r="C83" s="94">
        <v>4633</v>
      </c>
      <c r="D83" s="91">
        <v>644</v>
      </c>
      <c r="E83" s="94">
        <v>1853</v>
      </c>
      <c r="F83" s="91">
        <v>1459</v>
      </c>
      <c r="G83" s="91">
        <v>440</v>
      </c>
      <c r="H83" s="94">
        <v>6835</v>
      </c>
      <c r="I83" s="94">
        <v>809</v>
      </c>
      <c r="J83" s="94">
        <v>3012</v>
      </c>
      <c r="K83" s="94">
        <v>2596</v>
      </c>
      <c r="L83" s="94">
        <v>2321</v>
      </c>
      <c r="M83" s="91"/>
      <c r="N83" s="94">
        <v>3378</v>
      </c>
      <c r="O83" s="94">
        <v>4803</v>
      </c>
      <c r="P83" s="94">
        <v>3262</v>
      </c>
      <c r="Q83" s="94">
        <v>1408</v>
      </c>
      <c r="R83" s="94">
        <v>3111</v>
      </c>
      <c r="S83" s="94">
        <v>2476</v>
      </c>
      <c r="T83" s="91">
        <v>2597</v>
      </c>
      <c r="U83" s="94">
        <v>6127</v>
      </c>
      <c r="V83" s="91">
        <v>688</v>
      </c>
      <c r="W83" s="94">
        <v>2240</v>
      </c>
      <c r="X83" s="91"/>
      <c r="Y83" s="91"/>
      <c r="Z83" s="91"/>
      <c r="AA83" s="91">
        <v>353</v>
      </c>
      <c r="AB83" s="94">
        <v>3273</v>
      </c>
      <c r="AC83" s="94">
        <v>700</v>
      </c>
      <c r="AD83" s="91"/>
      <c r="AE83" s="91">
        <v>2327</v>
      </c>
      <c r="AF83" s="91">
        <v>356</v>
      </c>
      <c r="AG83" s="91">
        <v>4310</v>
      </c>
    </row>
    <row r="84" spans="2:33" x14ac:dyDescent="0.5">
      <c r="AF84" s="114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H83"/>
  <sheetViews>
    <sheetView topLeftCell="A2" zoomScaleNormal="100" workbookViewId="0">
      <pane xSplit="2" ySplit="3" topLeftCell="AA5" activePane="bottomRight" state="frozen"/>
      <selection activeCell="A2" sqref="A2"/>
      <selection pane="topRight" activeCell="C2" sqref="C2"/>
      <selection pane="bottomLeft" activeCell="A5" sqref="A5"/>
      <selection pane="bottomRight" activeCell="AD46" sqref="AD46:AE46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45658</v>
      </c>
      <c r="D4" s="27">
        <v>45659</v>
      </c>
      <c r="E4" s="27">
        <v>45660</v>
      </c>
      <c r="F4" s="27">
        <v>45661</v>
      </c>
      <c r="G4" s="27">
        <v>45662</v>
      </c>
      <c r="H4" s="27">
        <v>45663</v>
      </c>
      <c r="I4" s="27">
        <v>45664</v>
      </c>
      <c r="J4" s="27">
        <v>45665</v>
      </c>
      <c r="K4" s="27">
        <v>45666</v>
      </c>
      <c r="L4" s="27">
        <v>45667</v>
      </c>
      <c r="M4" s="27">
        <v>45668</v>
      </c>
      <c r="N4" s="27">
        <v>45669</v>
      </c>
      <c r="O4" s="27">
        <v>45670</v>
      </c>
      <c r="P4" s="27">
        <v>45671</v>
      </c>
      <c r="Q4" s="27">
        <v>45672</v>
      </c>
      <c r="R4" s="27">
        <v>45673</v>
      </c>
      <c r="S4" s="27">
        <v>45674</v>
      </c>
      <c r="T4" s="27">
        <v>45675</v>
      </c>
      <c r="U4" s="27">
        <v>45676</v>
      </c>
      <c r="V4" s="27">
        <v>45677</v>
      </c>
      <c r="W4" s="27">
        <v>45678</v>
      </c>
      <c r="X4" s="27">
        <v>45679</v>
      </c>
      <c r="Y4" s="27">
        <v>45680</v>
      </c>
      <c r="Z4" s="27">
        <v>45681</v>
      </c>
      <c r="AA4" s="27">
        <v>45682</v>
      </c>
      <c r="AB4" s="27">
        <v>45683</v>
      </c>
      <c r="AC4" s="27">
        <v>45684</v>
      </c>
      <c r="AD4" s="27">
        <v>45685</v>
      </c>
      <c r="AE4" s="27">
        <v>45686</v>
      </c>
      <c r="AF4" s="27">
        <v>45687</v>
      </c>
      <c r="AG4" s="27">
        <v>45688</v>
      </c>
      <c r="AH4" s="26" t="s">
        <v>12</v>
      </c>
    </row>
    <row r="5" spans="1:34" ht="21.75" thickBot="1" x14ac:dyDescent="0.55000000000000004">
      <c r="B5" s="58" t="s">
        <v>0</v>
      </c>
      <c r="C5" s="28"/>
      <c r="D5" s="28">
        <f t="shared" ref="D5:AG5" si="0">D15</f>
        <v>312</v>
      </c>
      <c r="E5" s="28">
        <f t="shared" si="0"/>
        <v>1402</v>
      </c>
      <c r="F5" s="28">
        <f t="shared" si="0"/>
        <v>0</v>
      </c>
      <c r="G5" s="28">
        <f t="shared" si="0"/>
        <v>562</v>
      </c>
      <c r="H5" s="28">
        <f t="shared" si="0"/>
        <v>668</v>
      </c>
      <c r="I5" s="28">
        <f t="shared" si="0"/>
        <v>6002</v>
      </c>
      <c r="J5" s="28">
        <f t="shared" si="0"/>
        <v>0</v>
      </c>
      <c r="K5" s="28">
        <f t="shared" si="0"/>
        <v>1359</v>
      </c>
      <c r="L5" s="28">
        <f t="shared" si="0"/>
        <v>3747</v>
      </c>
      <c r="M5" s="28">
        <f t="shared" si="0"/>
        <v>1122</v>
      </c>
      <c r="N5" s="28">
        <f t="shared" si="0"/>
        <v>2166</v>
      </c>
      <c r="O5" s="28">
        <f t="shared" si="0"/>
        <v>1414</v>
      </c>
      <c r="P5" s="28">
        <f t="shared" si="0"/>
        <v>0</v>
      </c>
      <c r="Q5" s="28">
        <f t="shared" si="0"/>
        <v>3335</v>
      </c>
      <c r="R5" s="28">
        <f t="shared" si="0"/>
        <v>549</v>
      </c>
      <c r="S5" s="28">
        <f t="shared" si="0"/>
        <v>1311</v>
      </c>
      <c r="T5" s="28">
        <f t="shared" si="0"/>
        <v>1053</v>
      </c>
      <c r="U5" s="28">
        <f t="shared" si="0"/>
        <v>0</v>
      </c>
      <c r="V5" s="28">
        <f t="shared" si="0"/>
        <v>0</v>
      </c>
      <c r="W5" s="28">
        <f t="shared" si="0"/>
        <v>0</v>
      </c>
      <c r="X5" s="28">
        <f t="shared" si="0"/>
        <v>11260</v>
      </c>
      <c r="Y5" s="28">
        <f t="shared" si="0"/>
        <v>2379</v>
      </c>
      <c r="Z5" s="28">
        <f t="shared" si="0"/>
        <v>554</v>
      </c>
      <c r="AA5" s="28">
        <f t="shared" si="0"/>
        <v>6320</v>
      </c>
      <c r="AB5" s="28">
        <f t="shared" si="0"/>
        <v>570</v>
      </c>
      <c r="AC5" s="28">
        <f t="shared" si="0"/>
        <v>1682</v>
      </c>
      <c r="AD5" s="28">
        <f t="shared" si="0"/>
        <v>3858</v>
      </c>
      <c r="AE5" s="28">
        <f t="shared" si="0"/>
        <v>345</v>
      </c>
      <c r="AF5" s="28">
        <f t="shared" si="0"/>
        <v>0</v>
      </c>
      <c r="AG5" s="28">
        <f t="shared" si="0"/>
        <v>0</v>
      </c>
      <c r="AH5" s="29">
        <f>SUM(C5:AG5)</f>
        <v>51970</v>
      </c>
    </row>
    <row r="6" spans="1:34" x14ac:dyDescent="0.5">
      <c r="B6" s="122"/>
      <c r="C6" s="83"/>
      <c r="D6" s="83" t="s">
        <v>734</v>
      </c>
      <c r="E6" s="83" t="s">
        <v>737</v>
      </c>
      <c r="F6" s="83"/>
      <c r="G6" s="83" t="s">
        <v>739</v>
      </c>
      <c r="H6" s="83" t="s">
        <v>741</v>
      </c>
      <c r="I6" s="83" t="s">
        <v>743</v>
      </c>
      <c r="J6" s="83"/>
      <c r="K6" s="83" t="s">
        <v>748</v>
      </c>
      <c r="L6" s="83" t="s">
        <v>750</v>
      </c>
      <c r="M6" s="83" t="s">
        <v>755</v>
      </c>
      <c r="N6" s="83" t="s">
        <v>760</v>
      </c>
      <c r="O6" s="83" t="s">
        <v>765</v>
      </c>
      <c r="P6" s="83"/>
      <c r="Q6" s="83" t="s">
        <v>767</v>
      </c>
      <c r="R6" s="83" t="s">
        <v>775</v>
      </c>
      <c r="S6" s="83" t="s">
        <v>776</v>
      </c>
      <c r="T6" s="83" t="s">
        <v>779</v>
      </c>
      <c r="U6" s="83"/>
      <c r="V6" s="83"/>
      <c r="W6" s="83"/>
      <c r="X6" s="83" t="s">
        <v>783</v>
      </c>
      <c r="Y6" s="83" t="s">
        <v>790</v>
      </c>
      <c r="Z6" s="83" t="s">
        <v>795</v>
      </c>
      <c r="AA6" s="83" t="s">
        <v>802</v>
      </c>
      <c r="AB6" s="83" t="s">
        <v>803</v>
      </c>
      <c r="AC6" s="83" t="s">
        <v>805</v>
      </c>
      <c r="AD6" s="83" t="s">
        <v>808</v>
      </c>
      <c r="AE6" s="83" t="s">
        <v>814</v>
      </c>
      <c r="AF6" s="83"/>
      <c r="AG6" s="83"/>
      <c r="AH6" s="123"/>
    </row>
    <row r="7" spans="1:34" x14ac:dyDescent="0.5">
      <c r="B7" s="122"/>
      <c r="C7" s="84"/>
      <c r="D7" s="84" t="s">
        <v>735</v>
      </c>
      <c r="E7" s="84" t="s">
        <v>738</v>
      </c>
      <c r="F7" s="84"/>
      <c r="G7" s="84" t="s">
        <v>740</v>
      </c>
      <c r="H7" s="84" t="s">
        <v>742</v>
      </c>
      <c r="I7" s="84" t="s">
        <v>744</v>
      </c>
      <c r="J7" s="84"/>
      <c r="K7" s="84" t="s">
        <v>749</v>
      </c>
      <c r="L7" s="84" t="s">
        <v>751</v>
      </c>
      <c r="M7" s="84" t="s">
        <v>756</v>
      </c>
      <c r="N7" s="84" t="s">
        <v>761</v>
      </c>
      <c r="O7" s="84" t="s">
        <v>766</v>
      </c>
      <c r="P7" s="84"/>
      <c r="Q7" s="84" t="s">
        <v>768</v>
      </c>
      <c r="R7" s="84" t="s">
        <v>774</v>
      </c>
      <c r="S7" s="84" t="s">
        <v>777</v>
      </c>
      <c r="T7" s="84" t="s">
        <v>780</v>
      </c>
      <c r="U7" s="84"/>
      <c r="V7" s="84"/>
      <c r="W7" s="84"/>
      <c r="X7" s="84" t="s">
        <v>784</v>
      </c>
      <c r="Y7" s="84" t="s">
        <v>791</v>
      </c>
      <c r="Z7" s="84" t="s">
        <v>796</v>
      </c>
      <c r="AA7" s="84" t="s">
        <v>799</v>
      </c>
      <c r="AB7" s="84" t="s">
        <v>804</v>
      </c>
      <c r="AC7" s="84" t="s">
        <v>806</v>
      </c>
      <c r="AD7" s="84" t="s">
        <v>809</v>
      </c>
      <c r="AE7" s="84" t="s">
        <v>815</v>
      </c>
      <c r="AF7" s="84"/>
      <c r="AG7" s="84"/>
      <c r="AH7" s="123"/>
    </row>
    <row r="8" spans="1:34" x14ac:dyDescent="0.5">
      <c r="B8" s="122"/>
      <c r="C8" s="84"/>
      <c r="D8" s="84" t="s">
        <v>736</v>
      </c>
      <c r="E8" s="84"/>
      <c r="F8" s="84"/>
      <c r="G8" s="84"/>
      <c r="H8" s="84"/>
      <c r="I8" s="84" t="s">
        <v>745</v>
      </c>
      <c r="J8" s="84"/>
      <c r="K8" s="84"/>
      <c r="L8" s="84" t="s">
        <v>752</v>
      </c>
      <c r="M8" s="84" t="s">
        <v>757</v>
      </c>
      <c r="N8" s="84" t="s">
        <v>762</v>
      </c>
      <c r="O8" s="84"/>
      <c r="P8" s="84"/>
      <c r="Q8" s="84" t="s">
        <v>769</v>
      </c>
      <c r="R8" s="84" t="s">
        <v>773</v>
      </c>
      <c r="S8" s="84" t="s">
        <v>778</v>
      </c>
      <c r="T8" s="84" t="s">
        <v>781</v>
      </c>
      <c r="U8" s="84"/>
      <c r="V8" s="84"/>
      <c r="W8" s="84"/>
      <c r="X8" s="84" t="s">
        <v>785</v>
      </c>
      <c r="Y8" s="84" t="s">
        <v>792</v>
      </c>
      <c r="Z8" s="84" t="s">
        <v>797</v>
      </c>
      <c r="AA8" s="84" t="s">
        <v>800</v>
      </c>
      <c r="AB8" s="84"/>
      <c r="AC8" s="84" t="s">
        <v>807</v>
      </c>
      <c r="AD8" s="84" t="s">
        <v>810</v>
      </c>
      <c r="AE8" s="84" t="s">
        <v>816</v>
      </c>
      <c r="AF8" s="84"/>
      <c r="AG8" s="84"/>
      <c r="AH8" s="123"/>
    </row>
    <row r="9" spans="1:34" x14ac:dyDescent="0.5">
      <c r="B9" s="122"/>
      <c r="C9" s="84"/>
      <c r="D9" s="84"/>
      <c r="E9" s="84"/>
      <c r="F9" s="84"/>
      <c r="G9" s="84"/>
      <c r="H9" s="84"/>
      <c r="I9" s="84" t="s">
        <v>747</v>
      </c>
      <c r="J9" s="84"/>
      <c r="K9" s="84"/>
      <c r="L9" s="84" t="s">
        <v>753</v>
      </c>
      <c r="M9" s="84" t="s">
        <v>758</v>
      </c>
      <c r="N9" s="84" t="s">
        <v>763</v>
      </c>
      <c r="O9" s="84"/>
      <c r="P9" s="84"/>
      <c r="Q9" s="84" t="s">
        <v>770</v>
      </c>
      <c r="R9" s="84"/>
      <c r="S9" s="84"/>
      <c r="T9" s="84" t="s">
        <v>782</v>
      </c>
      <c r="U9" s="84"/>
      <c r="V9" s="84"/>
      <c r="W9" s="84"/>
      <c r="X9" s="84" t="s">
        <v>786</v>
      </c>
      <c r="Y9" s="84" t="s">
        <v>793</v>
      </c>
      <c r="Z9" s="84" t="s">
        <v>798</v>
      </c>
      <c r="AA9" s="84" t="s">
        <v>801</v>
      </c>
      <c r="AB9" s="84"/>
      <c r="AC9" s="84"/>
      <c r="AD9" s="84" t="s">
        <v>811</v>
      </c>
      <c r="AE9" s="84" t="s">
        <v>817</v>
      </c>
      <c r="AF9" s="84"/>
      <c r="AG9" s="84"/>
      <c r="AH9" s="123"/>
    </row>
    <row r="10" spans="1:34" x14ac:dyDescent="0.5">
      <c r="B10" s="122"/>
      <c r="C10" s="84"/>
      <c r="D10" s="84"/>
      <c r="E10" s="84"/>
      <c r="F10" s="84"/>
      <c r="G10" s="84"/>
      <c r="H10" s="84"/>
      <c r="I10" s="84" t="s">
        <v>746</v>
      </c>
      <c r="J10" s="84"/>
      <c r="K10" s="84"/>
      <c r="L10" s="84" t="s">
        <v>754</v>
      </c>
      <c r="M10" s="84" t="s">
        <v>759</v>
      </c>
      <c r="N10" s="84" t="s">
        <v>764</v>
      </c>
      <c r="O10" s="84"/>
      <c r="P10" s="84"/>
      <c r="Q10" s="84" t="s">
        <v>771</v>
      </c>
      <c r="R10" s="84"/>
      <c r="S10" s="84"/>
      <c r="T10" s="84"/>
      <c r="U10" s="84"/>
      <c r="V10" s="84"/>
      <c r="W10" s="84"/>
      <c r="X10" s="84" t="s">
        <v>787</v>
      </c>
      <c r="Y10" s="84" t="s">
        <v>794</v>
      </c>
      <c r="Z10" s="84"/>
      <c r="AA10" s="84"/>
      <c r="AB10" s="84"/>
      <c r="AC10" s="84"/>
      <c r="AD10" s="84" t="s">
        <v>812</v>
      </c>
      <c r="AE10" s="84"/>
      <c r="AF10" s="84"/>
      <c r="AG10" s="84"/>
      <c r="AH10" s="123"/>
    </row>
    <row r="11" spans="1:34" x14ac:dyDescent="0.5">
      <c r="B11" s="122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 t="s">
        <v>772</v>
      </c>
      <c r="R11" s="84"/>
      <c r="S11" s="84"/>
      <c r="T11" s="84"/>
      <c r="U11" s="84"/>
      <c r="V11" s="84"/>
      <c r="W11" s="84"/>
      <c r="X11" s="84" t="s">
        <v>788</v>
      </c>
      <c r="Y11" s="84"/>
      <c r="Z11" s="84"/>
      <c r="AA11" s="84"/>
      <c r="AB11" s="84"/>
      <c r="AC11" s="84"/>
      <c r="AD11" s="84" t="s">
        <v>813</v>
      </c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 t="s">
        <v>789</v>
      </c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0</v>
      </c>
      <c r="D15" s="31">
        <f t="shared" ref="D15:AG15" si="1">SUM(D16:D22)</f>
        <v>312</v>
      </c>
      <c r="E15" s="31">
        <f t="shared" si="1"/>
        <v>1402</v>
      </c>
      <c r="F15" s="31">
        <f t="shared" si="1"/>
        <v>0</v>
      </c>
      <c r="G15" s="31">
        <f t="shared" si="1"/>
        <v>562</v>
      </c>
      <c r="H15" s="31">
        <f t="shared" si="1"/>
        <v>668</v>
      </c>
      <c r="I15" s="31">
        <f t="shared" si="1"/>
        <v>6002</v>
      </c>
      <c r="J15" s="31">
        <f t="shared" si="1"/>
        <v>0</v>
      </c>
      <c r="K15" s="31">
        <f t="shared" si="1"/>
        <v>1359</v>
      </c>
      <c r="L15" s="31">
        <f t="shared" si="1"/>
        <v>3747</v>
      </c>
      <c r="M15" s="31">
        <f t="shared" si="1"/>
        <v>1122</v>
      </c>
      <c r="N15" s="31">
        <f t="shared" si="1"/>
        <v>2166</v>
      </c>
      <c r="O15" s="31">
        <f t="shared" si="1"/>
        <v>1414</v>
      </c>
      <c r="P15" s="31">
        <f t="shared" si="1"/>
        <v>0</v>
      </c>
      <c r="Q15" s="31">
        <f t="shared" si="1"/>
        <v>3335</v>
      </c>
      <c r="R15" s="31">
        <f t="shared" si="1"/>
        <v>549</v>
      </c>
      <c r="S15" s="31">
        <f t="shared" si="1"/>
        <v>1311</v>
      </c>
      <c r="T15" s="31">
        <f t="shared" si="1"/>
        <v>1053</v>
      </c>
      <c r="U15" s="31">
        <f t="shared" si="1"/>
        <v>0</v>
      </c>
      <c r="V15" s="31">
        <f t="shared" si="1"/>
        <v>0</v>
      </c>
      <c r="W15" s="31">
        <f t="shared" si="1"/>
        <v>0</v>
      </c>
      <c r="X15" s="31">
        <f t="shared" si="1"/>
        <v>11260</v>
      </c>
      <c r="Y15" s="31">
        <f t="shared" si="1"/>
        <v>2379</v>
      </c>
      <c r="Z15" s="31">
        <f t="shared" si="1"/>
        <v>554</v>
      </c>
      <c r="AA15" s="31">
        <f t="shared" si="1"/>
        <v>6320</v>
      </c>
      <c r="AB15" s="31">
        <f t="shared" si="1"/>
        <v>570</v>
      </c>
      <c r="AC15" s="31">
        <f t="shared" si="1"/>
        <v>1682</v>
      </c>
      <c r="AD15" s="31">
        <f t="shared" si="1"/>
        <v>3858</v>
      </c>
      <c r="AE15" s="31">
        <f t="shared" si="1"/>
        <v>345</v>
      </c>
      <c r="AF15" s="31">
        <f t="shared" si="1"/>
        <v>0</v>
      </c>
      <c r="AG15" s="31">
        <f t="shared" si="1"/>
        <v>0</v>
      </c>
      <c r="AH15" s="32">
        <f>SUM(C15:AG15)</f>
        <v>51970</v>
      </c>
    </row>
    <row r="16" spans="1:34" x14ac:dyDescent="0.5">
      <c r="B16" s="60" t="s">
        <v>18</v>
      </c>
      <c r="C16" s="30"/>
      <c r="D16" s="30">
        <v>72</v>
      </c>
      <c r="E16" s="30">
        <v>450</v>
      </c>
      <c r="F16" s="30"/>
      <c r="G16" s="30"/>
      <c r="H16" s="30"/>
      <c r="I16" s="30">
        <v>168</v>
      </c>
      <c r="J16" s="30"/>
      <c r="K16" s="30"/>
      <c r="L16" s="30">
        <v>965</v>
      </c>
      <c r="M16" s="30">
        <v>287</v>
      </c>
      <c r="N16" s="30">
        <v>510</v>
      </c>
      <c r="O16" s="30"/>
      <c r="P16" s="30"/>
      <c r="Q16" s="30"/>
      <c r="R16" s="30">
        <v>237</v>
      </c>
      <c r="S16" s="30"/>
      <c r="T16" s="30">
        <v>817</v>
      </c>
      <c r="U16" s="30"/>
      <c r="V16" s="30"/>
      <c r="W16" s="30"/>
      <c r="X16" s="30">
        <v>530</v>
      </c>
      <c r="Y16" s="30"/>
      <c r="Z16" s="30">
        <v>200</v>
      </c>
      <c r="AA16" s="30">
        <v>6195</v>
      </c>
      <c r="AB16" s="30">
        <v>336</v>
      </c>
      <c r="AC16" s="30"/>
      <c r="AD16" s="30">
        <v>1500</v>
      </c>
      <c r="AE16" s="30">
        <v>30</v>
      </c>
      <c r="AF16" s="30"/>
      <c r="AG16" s="30"/>
      <c r="AH16" s="10"/>
    </row>
    <row r="17" spans="2:34" x14ac:dyDescent="0.5">
      <c r="B17" s="61" t="s">
        <v>19</v>
      </c>
      <c r="C17" s="22"/>
      <c r="D17" s="22"/>
      <c r="E17" s="22">
        <v>952</v>
      </c>
      <c r="F17" s="22"/>
      <c r="G17" s="22"/>
      <c r="H17" s="22"/>
      <c r="I17" s="22"/>
      <c r="J17" s="22"/>
      <c r="K17" s="22"/>
      <c r="L17" s="22"/>
      <c r="M17" s="22"/>
      <c r="N17" s="22">
        <v>176</v>
      </c>
      <c r="O17" s="22"/>
      <c r="P17" s="22"/>
      <c r="Q17" s="22"/>
      <c r="R17" s="22"/>
      <c r="S17" s="22"/>
      <c r="T17" s="22"/>
      <c r="U17" s="22"/>
      <c r="V17" s="22"/>
      <c r="W17" s="22"/>
      <c r="X17" s="22">
        <v>875</v>
      </c>
      <c r="Y17" s="22">
        <v>194</v>
      </c>
      <c r="Z17" s="22">
        <v>77</v>
      </c>
      <c r="AA17" s="22"/>
      <c r="AB17" s="22"/>
      <c r="AC17" s="22"/>
      <c r="AD17" s="22">
        <v>160</v>
      </c>
      <c r="AE17" s="22"/>
      <c r="AF17" s="22"/>
      <c r="AG17" s="22"/>
      <c r="AH17" s="10"/>
    </row>
    <row r="18" spans="2:34" x14ac:dyDescent="0.5">
      <c r="B18" s="61" t="s">
        <v>20</v>
      </c>
      <c r="C18" s="22"/>
      <c r="D18" s="22">
        <v>130</v>
      </c>
      <c r="E18" s="22"/>
      <c r="F18" s="22"/>
      <c r="G18" s="22"/>
      <c r="H18" s="22">
        <v>586</v>
      </c>
      <c r="I18" s="22">
        <v>5834</v>
      </c>
      <c r="J18" s="22"/>
      <c r="K18" s="22">
        <v>1359</v>
      </c>
      <c r="L18" s="22">
        <v>220</v>
      </c>
      <c r="M18" s="22">
        <v>835</v>
      </c>
      <c r="N18" s="22">
        <v>688</v>
      </c>
      <c r="O18" s="22"/>
      <c r="P18" s="22"/>
      <c r="Q18" s="22">
        <v>3138</v>
      </c>
      <c r="R18" s="22"/>
      <c r="S18" s="22">
        <v>1311</v>
      </c>
      <c r="T18" s="22">
        <v>204</v>
      </c>
      <c r="U18" s="22"/>
      <c r="V18" s="22"/>
      <c r="W18" s="22"/>
      <c r="X18" s="22">
        <v>1830</v>
      </c>
      <c r="Y18" s="22">
        <v>1598</v>
      </c>
      <c r="Z18" s="22"/>
      <c r="AA18" s="22">
        <v>53</v>
      </c>
      <c r="AB18" s="22"/>
      <c r="AC18" s="22">
        <v>1552</v>
      </c>
      <c r="AD18" s="22">
        <v>2198</v>
      </c>
      <c r="AE18" s="22">
        <v>315</v>
      </c>
      <c r="AF18" s="22"/>
      <c r="AG18" s="22"/>
      <c r="AH18" s="10"/>
    </row>
    <row r="19" spans="2:34" x14ac:dyDescent="0.5">
      <c r="B19" s="61" t="s">
        <v>21</v>
      </c>
      <c r="C19" s="22"/>
      <c r="D19" s="22">
        <v>110</v>
      </c>
      <c r="E19" s="22"/>
      <c r="F19" s="22"/>
      <c r="G19" s="22"/>
      <c r="H19" s="22">
        <v>82</v>
      </c>
      <c r="I19" s="22"/>
      <c r="J19" s="22"/>
      <c r="K19" s="22"/>
      <c r="L19" s="22"/>
      <c r="M19" s="22"/>
      <c r="N19" s="22">
        <v>792</v>
      </c>
      <c r="O19" s="22">
        <v>862</v>
      </c>
      <c r="P19" s="22"/>
      <c r="Q19" s="22">
        <v>82</v>
      </c>
      <c r="R19" s="22">
        <v>312</v>
      </c>
      <c r="S19" s="22"/>
      <c r="T19" s="22"/>
      <c r="U19" s="22"/>
      <c r="V19" s="22"/>
      <c r="W19" s="22"/>
      <c r="X19" s="22">
        <v>8025</v>
      </c>
      <c r="Y19" s="22">
        <v>587</v>
      </c>
      <c r="Z19" s="22">
        <v>84</v>
      </c>
      <c r="AA19" s="22">
        <v>72</v>
      </c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22</v>
      </c>
      <c r="C20" s="22"/>
      <c r="D20" s="22"/>
      <c r="E20" s="22"/>
      <c r="F20" s="22"/>
      <c r="G20" s="22">
        <v>490</v>
      </c>
      <c r="H20" s="22"/>
      <c r="I20" s="22"/>
      <c r="J20" s="22"/>
      <c r="K20" s="22"/>
      <c r="L20" s="22">
        <v>1464</v>
      </c>
      <c r="M20" s="22"/>
      <c r="N20" s="22"/>
      <c r="O20" s="22">
        <v>552</v>
      </c>
      <c r="P20" s="22"/>
      <c r="Q20" s="22"/>
      <c r="R20" s="22"/>
      <c r="S20" s="22"/>
      <c r="T20" s="22">
        <v>32</v>
      </c>
      <c r="U20" s="22"/>
      <c r="V20" s="22"/>
      <c r="W20" s="22"/>
      <c r="X20" s="22"/>
      <c r="Y20" s="22"/>
      <c r="Z20" s="22"/>
      <c r="AA20" s="22"/>
      <c r="AB20" s="22"/>
      <c r="AC20" s="22">
        <v>130</v>
      </c>
      <c r="AD20" s="22"/>
      <c r="AE20" s="22"/>
      <c r="AF20" s="22"/>
      <c r="AG20" s="22"/>
      <c r="AH20" s="10"/>
    </row>
    <row r="21" spans="2:34" x14ac:dyDescent="0.5">
      <c r="B21" s="61" t="s">
        <v>32</v>
      </c>
      <c r="C21" s="22"/>
      <c r="D21" s="22"/>
      <c r="E21" s="22"/>
      <c r="F21" s="22"/>
      <c r="G21" s="22">
        <v>72</v>
      </c>
      <c r="H21" s="22"/>
      <c r="I21" s="22"/>
      <c r="J21" s="22"/>
      <c r="K21" s="22"/>
      <c r="L21" s="22"/>
      <c r="M21" s="22"/>
      <c r="N21" s="22"/>
      <c r="O21" s="22"/>
      <c r="P21" s="22"/>
      <c r="Q21" s="22">
        <v>115</v>
      </c>
      <c r="R21" s="22"/>
      <c r="S21" s="22"/>
      <c r="T21" s="22"/>
      <c r="U21" s="22"/>
      <c r="V21" s="22"/>
      <c r="W21" s="22"/>
      <c r="X21" s="22"/>
      <c r="Y21" s="22"/>
      <c r="Z21" s="22">
        <v>193</v>
      </c>
      <c r="AA21" s="22"/>
      <c r="AB21" s="22"/>
      <c r="AC21" s="22"/>
      <c r="AD21" s="22"/>
      <c r="AE21" s="22"/>
      <c r="AF21" s="22"/>
      <c r="AG21" s="22"/>
      <c r="AH21" s="10"/>
    </row>
    <row r="22" spans="2:34" ht="21.75" thickBot="1" x14ac:dyDescent="0.55000000000000004">
      <c r="B22" s="62" t="s">
        <v>33</v>
      </c>
      <c r="C22" s="33"/>
      <c r="D22" s="33"/>
      <c r="E22" s="33"/>
      <c r="F22" s="33"/>
      <c r="G22" s="33"/>
      <c r="H22" s="33"/>
      <c r="I22" s="33"/>
      <c r="J22" s="33"/>
      <c r="K22" s="33"/>
      <c r="L22" s="33">
        <v>1098</v>
      </c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>
        <v>234</v>
      </c>
      <c r="AC22" s="33"/>
      <c r="AD22" s="33"/>
      <c r="AE22" s="33"/>
      <c r="AF22" s="33"/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0</v>
      </c>
      <c r="D23" s="37">
        <f t="shared" ref="D23:AG23" si="2">SUM(D24:D36)</f>
        <v>60</v>
      </c>
      <c r="E23" s="37">
        <f t="shared" si="2"/>
        <v>0</v>
      </c>
      <c r="F23" s="37">
        <f t="shared" si="2"/>
        <v>0</v>
      </c>
      <c r="G23" s="37">
        <f t="shared" si="2"/>
        <v>8</v>
      </c>
      <c r="H23" s="37">
        <f t="shared" si="2"/>
        <v>55</v>
      </c>
      <c r="I23" s="37">
        <f t="shared" si="2"/>
        <v>83</v>
      </c>
      <c r="J23" s="37">
        <f t="shared" si="2"/>
        <v>0</v>
      </c>
      <c r="K23" s="37">
        <f t="shared" si="2"/>
        <v>105</v>
      </c>
      <c r="L23" s="37">
        <f t="shared" si="2"/>
        <v>150</v>
      </c>
      <c r="M23" s="37">
        <f t="shared" si="2"/>
        <v>52</v>
      </c>
      <c r="N23" s="37">
        <f t="shared" si="2"/>
        <v>318</v>
      </c>
      <c r="O23" s="37">
        <f t="shared" si="2"/>
        <v>130</v>
      </c>
      <c r="P23" s="37">
        <f t="shared" si="2"/>
        <v>0</v>
      </c>
      <c r="Q23" s="37">
        <f t="shared" si="2"/>
        <v>56</v>
      </c>
      <c r="R23" s="37">
        <f t="shared" si="2"/>
        <v>120</v>
      </c>
      <c r="S23" s="37">
        <f t="shared" si="2"/>
        <v>20</v>
      </c>
      <c r="T23" s="37">
        <f t="shared" si="2"/>
        <v>41</v>
      </c>
      <c r="U23" s="37">
        <f t="shared" si="2"/>
        <v>56</v>
      </c>
      <c r="V23" s="37">
        <f t="shared" si="2"/>
        <v>0</v>
      </c>
      <c r="W23" s="37">
        <f t="shared" si="2"/>
        <v>0</v>
      </c>
      <c r="X23" s="37">
        <f t="shared" si="2"/>
        <v>35</v>
      </c>
      <c r="Y23" s="37">
        <f t="shared" si="2"/>
        <v>181</v>
      </c>
      <c r="Z23" s="37">
        <f t="shared" si="2"/>
        <v>20</v>
      </c>
      <c r="AA23" s="37">
        <f t="shared" si="2"/>
        <v>49</v>
      </c>
      <c r="AB23" s="37">
        <f t="shared" si="2"/>
        <v>106</v>
      </c>
      <c r="AC23" s="37">
        <f t="shared" si="2"/>
        <v>50</v>
      </c>
      <c r="AD23" s="37">
        <f t="shared" si="2"/>
        <v>171</v>
      </c>
      <c r="AE23" s="37">
        <f t="shared" si="2"/>
        <v>219</v>
      </c>
      <c r="AF23" s="37">
        <f t="shared" si="2"/>
        <v>0</v>
      </c>
      <c r="AG23" s="37">
        <f t="shared" si="2"/>
        <v>0</v>
      </c>
      <c r="AH23" s="38">
        <f>SUM(C23:AG23)</f>
        <v>2085</v>
      </c>
    </row>
    <row r="24" spans="2:34" x14ac:dyDescent="0.5">
      <c r="B24" s="35" t="s">
        <v>24</v>
      </c>
      <c r="C24" s="36"/>
      <c r="D24" s="36"/>
      <c r="E24" s="36"/>
      <c r="F24" s="36"/>
      <c r="G24" s="36">
        <v>6</v>
      </c>
      <c r="H24" s="36"/>
      <c r="I24" s="36"/>
      <c r="J24" s="36"/>
      <c r="K24" s="36">
        <v>5</v>
      </c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/>
      <c r="E25" s="8"/>
      <c r="F25" s="8"/>
      <c r="G25" s="8">
        <v>2</v>
      </c>
      <c r="H25" s="8"/>
      <c r="I25" s="8"/>
      <c r="J25" s="8"/>
      <c r="K25" s="8">
        <v>50</v>
      </c>
      <c r="L25" s="8">
        <v>35</v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>
        <v>45</v>
      </c>
      <c r="Z25" s="8"/>
      <c r="AA25" s="8">
        <v>4</v>
      </c>
      <c r="AB25" s="8"/>
      <c r="AC25" s="8">
        <v>50</v>
      </c>
      <c r="AD25" s="8">
        <v>50</v>
      </c>
      <c r="AE25" s="8">
        <v>162</v>
      </c>
      <c r="AF25" s="8"/>
      <c r="AG25" s="8"/>
      <c r="AH25" s="6"/>
    </row>
    <row r="26" spans="2:34" x14ac:dyDescent="0.5">
      <c r="B26" s="11" t="s">
        <v>26</v>
      </c>
      <c r="C26" s="8"/>
      <c r="D26" s="8">
        <v>60</v>
      </c>
      <c r="E26" s="8"/>
      <c r="F26" s="8"/>
      <c r="G26" s="8"/>
      <c r="H26" s="8"/>
      <c r="I26" s="8"/>
      <c r="J26" s="8"/>
      <c r="K26" s="8">
        <v>50</v>
      </c>
      <c r="L26" s="8">
        <v>50</v>
      </c>
      <c r="M26" s="8">
        <v>40</v>
      </c>
      <c r="N26" s="8"/>
      <c r="O26" s="8"/>
      <c r="P26" s="8"/>
      <c r="Q26" s="8"/>
      <c r="R26" s="8"/>
      <c r="S26" s="8">
        <v>20</v>
      </c>
      <c r="T26" s="8">
        <v>35</v>
      </c>
      <c r="U26" s="8"/>
      <c r="V26" s="8"/>
      <c r="W26" s="8"/>
      <c r="X26" s="8">
        <v>35</v>
      </c>
      <c r="Y26" s="8">
        <v>30</v>
      </c>
      <c r="Z26" s="8">
        <v>20</v>
      </c>
      <c r="AA26" s="8">
        <v>45</v>
      </c>
      <c r="AB26" s="8"/>
      <c r="AC26" s="8"/>
      <c r="AD26" s="8">
        <v>50</v>
      </c>
      <c r="AE26" s="8">
        <v>30</v>
      </c>
      <c r="AF26" s="8"/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/>
      <c r="H27" s="8">
        <v>50</v>
      </c>
      <c r="I27" s="8">
        <v>20</v>
      </c>
      <c r="J27" s="8"/>
      <c r="K27" s="8"/>
      <c r="L27" s="8">
        <v>15</v>
      </c>
      <c r="M27" s="8">
        <v>6</v>
      </c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>
        <v>100</v>
      </c>
      <c r="Z27" s="8"/>
      <c r="AA27" s="8"/>
      <c r="AB27" s="8">
        <v>6</v>
      </c>
      <c r="AC27" s="8"/>
      <c r="AD27" s="8">
        <v>46</v>
      </c>
      <c r="AE27" s="8">
        <v>20</v>
      </c>
      <c r="AF27" s="8"/>
      <c r="AG27" s="8"/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>
        <v>5</v>
      </c>
      <c r="I28" s="8">
        <v>50</v>
      </c>
      <c r="J28" s="8"/>
      <c r="K28" s="8"/>
      <c r="L28" s="8">
        <v>50</v>
      </c>
      <c r="M28" s="8">
        <v>6</v>
      </c>
      <c r="N28" s="8">
        <v>250</v>
      </c>
      <c r="O28" s="8">
        <v>70</v>
      </c>
      <c r="P28" s="8"/>
      <c r="Q28" s="8">
        <v>50</v>
      </c>
      <c r="R28" s="8">
        <v>40</v>
      </c>
      <c r="S28" s="8"/>
      <c r="T28" s="8"/>
      <c r="U28" s="8">
        <v>50</v>
      </c>
      <c r="V28" s="8"/>
      <c r="W28" s="8"/>
      <c r="X28" s="8"/>
      <c r="Y28" s="8">
        <v>6</v>
      </c>
      <c r="Z28" s="8"/>
      <c r="AA28" s="8"/>
      <c r="AB28" s="8">
        <v>100</v>
      </c>
      <c r="AC28" s="8"/>
      <c r="AD28" s="8">
        <v>25</v>
      </c>
      <c r="AE28" s="8">
        <v>7</v>
      </c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>
        <v>13</v>
      </c>
      <c r="J29" s="8"/>
      <c r="K29" s="8"/>
      <c r="L29" s="8"/>
      <c r="M29" s="8"/>
      <c r="N29" s="8">
        <v>57</v>
      </c>
      <c r="O29" s="8">
        <v>60</v>
      </c>
      <c r="P29" s="8"/>
      <c r="Q29" s="8">
        <v>6</v>
      </c>
      <c r="R29" s="8">
        <v>30</v>
      </c>
      <c r="S29" s="8"/>
      <c r="T29" s="8"/>
      <c r="U29" s="8">
        <v>6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>
        <v>6</v>
      </c>
      <c r="O30" s="8"/>
      <c r="P30" s="8"/>
      <c r="Q30" s="8"/>
      <c r="R30" s="8">
        <v>50</v>
      </c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>
        <v>5</v>
      </c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>
        <v>6</v>
      </c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6"/>
    </row>
    <row r="35" spans="2:34" x14ac:dyDescent="0.5">
      <c r="B35" s="11" t="s">
        <v>48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/>
      <c r="D37" s="106">
        <v>364</v>
      </c>
      <c r="E37" s="87">
        <v>3290</v>
      </c>
      <c r="F37" s="87">
        <v>2135</v>
      </c>
      <c r="G37" s="87">
        <v>2273</v>
      </c>
      <c r="H37" s="87">
        <v>567</v>
      </c>
      <c r="I37" s="87">
        <v>4863</v>
      </c>
      <c r="J37" s="45"/>
      <c r="K37" s="87">
        <v>3632</v>
      </c>
      <c r="L37" s="87">
        <v>2036</v>
      </c>
      <c r="M37" s="45">
        <v>892</v>
      </c>
      <c r="N37" s="87">
        <v>2350</v>
      </c>
      <c r="O37" s="87">
        <v>2924</v>
      </c>
      <c r="P37" s="87"/>
      <c r="Q37" s="87">
        <v>3172</v>
      </c>
      <c r="R37" s="87">
        <v>2328</v>
      </c>
      <c r="S37" s="87">
        <v>1901</v>
      </c>
      <c r="T37" s="87">
        <v>1275</v>
      </c>
      <c r="U37" s="87">
        <v>5233</v>
      </c>
      <c r="V37" s="78">
        <v>1183</v>
      </c>
      <c r="W37" s="44"/>
      <c r="X37" s="87">
        <v>8335</v>
      </c>
      <c r="Y37" s="87">
        <v>2890</v>
      </c>
      <c r="Z37" s="87">
        <v>2098</v>
      </c>
      <c r="AA37" s="87">
        <v>1749</v>
      </c>
      <c r="AB37" s="87">
        <v>7382</v>
      </c>
      <c r="AC37" s="87">
        <v>705</v>
      </c>
      <c r="AD37" s="44">
        <v>4361</v>
      </c>
      <c r="AE37" s="44">
        <v>571</v>
      </c>
      <c r="AF37" s="44"/>
      <c r="AG37" s="44"/>
      <c r="AH37" s="46">
        <f>SUM(C37:AG37)</f>
        <v>68509</v>
      </c>
    </row>
    <row r="38" spans="2:34" x14ac:dyDescent="0.5">
      <c r="B38" s="42" t="s">
        <v>3</v>
      </c>
      <c r="C38" s="105"/>
      <c r="D38" s="105">
        <v>216</v>
      </c>
      <c r="E38" s="105">
        <v>1877</v>
      </c>
      <c r="F38" s="105"/>
      <c r="G38" s="105">
        <v>356</v>
      </c>
      <c r="H38" s="105">
        <v>15</v>
      </c>
      <c r="I38" s="105"/>
      <c r="J38" s="105"/>
      <c r="K38" s="105">
        <v>2086</v>
      </c>
      <c r="L38" s="105">
        <v>554</v>
      </c>
      <c r="M38" s="105">
        <v>772</v>
      </c>
      <c r="N38" s="105">
        <v>36</v>
      </c>
      <c r="O38" s="105">
        <v>559</v>
      </c>
      <c r="P38" s="105"/>
      <c r="Q38" s="105">
        <v>166</v>
      </c>
      <c r="R38" s="105">
        <v>1758</v>
      </c>
      <c r="S38" s="105">
        <v>1004</v>
      </c>
      <c r="T38" s="105">
        <v>503</v>
      </c>
      <c r="U38" s="105">
        <v>5147</v>
      </c>
      <c r="V38" s="105">
        <v>0</v>
      </c>
      <c r="W38" s="105"/>
      <c r="X38" s="105">
        <v>1297</v>
      </c>
      <c r="Y38" s="105">
        <v>513</v>
      </c>
      <c r="Z38" s="105">
        <v>894</v>
      </c>
      <c r="AA38" s="105">
        <v>1717</v>
      </c>
      <c r="AB38" s="105">
        <v>3711</v>
      </c>
      <c r="AC38" s="105">
        <v>38</v>
      </c>
      <c r="AD38" s="105"/>
      <c r="AE38" s="105">
        <v>78</v>
      </c>
      <c r="AF38" s="105"/>
      <c r="AG38" s="105"/>
      <c r="AH38" s="7"/>
    </row>
    <row r="39" spans="2:34" x14ac:dyDescent="0.5">
      <c r="B39" s="15" t="s">
        <v>10</v>
      </c>
      <c r="C39" s="9"/>
      <c r="D39" s="9">
        <v>0</v>
      </c>
      <c r="E39" s="9">
        <v>559</v>
      </c>
      <c r="F39" s="9"/>
      <c r="G39" s="9">
        <v>10</v>
      </c>
      <c r="H39" s="9">
        <v>25</v>
      </c>
      <c r="I39" s="9"/>
      <c r="J39" s="9"/>
      <c r="K39" s="9">
        <v>999</v>
      </c>
      <c r="L39" s="9">
        <v>123</v>
      </c>
      <c r="M39" s="9">
        <v>149</v>
      </c>
      <c r="N39" s="9">
        <v>0</v>
      </c>
      <c r="O39" s="9">
        <v>198</v>
      </c>
      <c r="P39" s="9"/>
      <c r="Q39" s="9">
        <v>321</v>
      </c>
      <c r="R39" s="9">
        <v>638</v>
      </c>
      <c r="S39" s="9">
        <v>341</v>
      </c>
      <c r="T39" s="9">
        <v>215</v>
      </c>
      <c r="U39" s="9">
        <v>580</v>
      </c>
      <c r="V39" s="9">
        <v>0</v>
      </c>
      <c r="W39" s="9"/>
      <c r="X39" s="9">
        <v>244</v>
      </c>
      <c r="Y39" s="9">
        <v>56</v>
      </c>
      <c r="Z39" s="9">
        <v>230</v>
      </c>
      <c r="AA39" s="9">
        <v>873</v>
      </c>
      <c r="AB39" s="9">
        <v>293</v>
      </c>
      <c r="AC39" s="9">
        <v>114</v>
      </c>
      <c r="AD39" s="9"/>
      <c r="AE39" s="9">
        <v>236</v>
      </c>
      <c r="AF39" s="9"/>
      <c r="AG39" s="9"/>
      <c r="AH39" s="14"/>
    </row>
    <row r="40" spans="2:34" x14ac:dyDescent="0.5">
      <c r="B40" s="15" t="s">
        <v>11</v>
      </c>
      <c r="C40" s="9"/>
      <c r="D40" s="9">
        <v>6</v>
      </c>
      <c r="E40" s="9">
        <v>40</v>
      </c>
      <c r="F40" s="9"/>
      <c r="G40" s="9">
        <v>7</v>
      </c>
      <c r="H40" s="9">
        <v>0</v>
      </c>
      <c r="I40" s="9"/>
      <c r="J40" s="9"/>
      <c r="K40" s="9">
        <v>41</v>
      </c>
      <c r="L40" s="9">
        <v>16</v>
      </c>
      <c r="M40" s="9">
        <v>12</v>
      </c>
      <c r="N40" s="9">
        <v>1</v>
      </c>
      <c r="O40" s="9">
        <v>12</v>
      </c>
      <c r="P40" s="9"/>
      <c r="Q40" s="9">
        <v>2</v>
      </c>
      <c r="R40" s="9">
        <v>56</v>
      </c>
      <c r="S40" s="107">
        <v>31</v>
      </c>
      <c r="T40" s="9">
        <v>15</v>
      </c>
      <c r="U40" s="9">
        <v>101</v>
      </c>
      <c r="V40" s="9">
        <v>0</v>
      </c>
      <c r="W40" s="9"/>
      <c r="X40" s="9">
        <v>39</v>
      </c>
      <c r="Y40" s="9">
        <v>11</v>
      </c>
      <c r="Z40" s="9">
        <v>23</v>
      </c>
      <c r="AA40" s="9">
        <v>41</v>
      </c>
      <c r="AB40" s="9">
        <v>85</v>
      </c>
      <c r="AC40" s="9">
        <v>1</v>
      </c>
      <c r="AD40" s="9"/>
      <c r="AE40" s="9"/>
      <c r="AF40" s="9"/>
      <c r="AG40" s="9"/>
      <c r="AH40" s="7"/>
    </row>
    <row r="41" spans="2:34" x14ac:dyDescent="0.5">
      <c r="B41" s="16" t="s">
        <v>5</v>
      </c>
      <c r="C41" s="97">
        <f>SUM(C37-C38)</f>
        <v>0</v>
      </c>
      <c r="D41" s="97">
        <f t="shared" ref="D41:AG41" si="3">SUM(D37-D38)</f>
        <v>148</v>
      </c>
      <c r="E41" s="97">
        <f t="shared" si="3"/>
        <v>1413</v>
      </c>
      <c r="F41" s="97">
        <f t="shared" si="3"/>
        <v>2135</v>
      </c>
      <c r="G41" s="97">
        <f t="shared" si="3"/>
        <v>1917</v>
      </c>
      <c r="H41" s="97">
        <f t="shared" si="3"/>
        <v>552</v>
      </c>
      <c r="I41" s="97">
        <f t="shared" si="3"/>
        <v>4863</v>
      </c>
      <c r="J41" s="97">
        <f t="shared" si="3"/>
        <v>0</v>
      </c>
      <c r="K41" s="97">
        <f t="shared" si="3"/>
        <v>1546</v>
      </c>
      <c r="L41" s="97">
        <f t="shared" si="3"/>
        <v>1482</v>
      </c>
      <c r="M41" s="97">
        <f t="shared" si="3"/>
        <v>120</v>
      </c>
      <c r="N41" s="97">
        <f t="shared" si="3"/>
        <v>2314</v>
      </c>
      <c r="O41" s="97">
        <f t="shared" si="3"/>
        <v>2365</v>
      </c>
      <c r="P41" s="97">
        <f t="shared" si="3"/>
        <v>0</v>
      </c>
      <c r="Q41" s="97">
        <f t="shared" si="3"/>
        <v>3006</v>
      </c>
      <c r="R41" s="97">
        <f t="shared" si="3"/>
        <v>570</v>
      </c>
      <c r="S41" s="97">
        <f t="shared" si="3"/>
        <v>897</v>
      </c>
      <c r="T41" s="97">
        <f t="shared" si="3"/>
        <v>772</v>
      </c>
      <c r="U41" s="97">
        <f t="shared" si="3"/>
        <v>86</v>
      </c>
      <c r="V41" s="97">
        <f t="shared" si="3"/>
        <v>1183</v>
      </c>
      <c r="W41" s="97">
        <f t="shared" si="3"/>
        <v>0</v>
      </c>
      <c r="X41" s="97">
        <f t="shared" si="3"/>
        <v>7038</v>
      </c>
      <c r="Y41" s="97">
        <f t="shared" si="3"/>
        <v>2377</v>
      </c>
      <c r="Z41" s="97">
        <f t="shared" si="3"/>
        <v>1204</v>
      </c>
      <c r="AA41" s="97">
        <f t="shared" si="3"/>
        <v>32</v>
      </c>
      <c r="AB41" s="97">
        <f t="shared" si="3"/>
        <v>3671</v>
      </c>
      <c r="AC41" s="97">
        <f t="shared" si="3"/>
        <v>667</v>
      </c>
      <c r="AD41" s="97">
        <f t="shared" si="3"/>
        <v>4361</v>
      </c>
      <c r="AE41" s="97">
        <f t="shared" si="3"/>
        <v>493</v>
      </c>
      <c r="AF41" s="97">
        <f t="shared" si="3"/>
        <v>0</v>
      </c>
      <c r="AG41" s="97">
        <f t="shared" si="3"/>
        <v>0</v>
      </c>
      <c r="AH41" s="13">
        <f>SUM(C41:AG41)</f>
        <v>45212</v>
      </c>
    </row>
    <row r="42" spans="2:34" x14ac:dyDescent="0.5">
      <c r="B42" s="16" t="s">
        <v>8</v>
      </c>
      <c r="C42" s="5"/>
      <c r="D42" s="5">
        <v>106</v>
      </c>
      <c r="E42" s="5">
        <v>157</v>
      </c>
      <c r="F42" s="5"/>
      <c r="G42" s="5">
        <v>678</v>
      </c>
      <c r="H42" s="5">
        <v>55</v>
      </c>
      <c r="I42" s="5"/>
      <c r="J42" s="5"/>
      <c r="K42" s="5">
        <v>200</v>
      </c>
      <c r="L42" s="5">
        <v>0</v>
      </c>
      <c r="M42" s="5">
        <v>0</v>
      </c>
      <c r="N42" s="92">
        <v>300</v>
      </c>
      <c r="O42" s="5">
        <v>211</v>
      </c>
      <c r="P42" s="5"/>
      <c r="Q42" s="5">
        <v>200</v>
      </c>
      <c r="R42" s="5">
        <v>30</v>
      </c>
      <c r="S42" s="5">
        <v>0</v>
      </c>
      <c r="T42" s="5">
        <v>0</v>
      </c>
      <c r="U42" s="5">
        <v>0</v>
      </c>
      <c r="V42" s="5">
        <v>308</v>
      </c>
      <c r="W42" s="5"/>
      <c r="X42" s="5">
        <v>0</v>
      </c>
      <c r="Y42" s="5">
        <v>323</v>
      </c>
      <c r="Z42" s="92">
        <v>105</v>
      </c>
      <c r="AA42" s="5">
        <v>0</v>
      </c>
      <c r="AB42" s="92">
        <v>1824</v>
      </c>
      <c r="AC42" s="92">
        <v>193</v>
      </c>
      <c r="AD42" s="5">
        <v>551</v>
      </c>
      <c r="AE42" s="5">
        <v>62</v>
      </c>
      <c r="AF42" s="5"/>
      <c r="AG42" s="5"/>
      <c r="AH42" s="12"/>
    </row>
    <row r="43" spans="2:34" ht="18" customHeight="1" thickBot="1" x14ac:dyDescent="0.55000000000000004">
      <c r="B43" s="47" t="s">
        <v>7</v>
      </c>
      <c r="C43" s="48"/>
      <c r="D43" s="48">
        <v>3</v>
      </c>
      <c r="E43" s="48">
        <v>20</v>
      </c>
      <c r="F43" s="48"/>
      <c r="G43" s="48">
        <v>0</v>
      </c>
      <c r="H43" s="48">
        <v>15</v>
      </c>
      <c r="I43" s="48"/>
      <c r="J43" s="48"/>
      <c r="K43" s="48">
        <v>45</v>
      </c>
      <c r="L43" s="48">
        <v>33</v>
      </c>
      <c r="M43" s="48">
        <v>2</v>
      </c>
      <c r="N43" s="48">
        <v>45</v>
      </c>
      <c r="O43" s="48">
        <v>36</v>
      </c>
      <c r="P43" s="48"/>
      <c r="Q43" s="48">
        <v>61</v>
      </c>
      <c r="R43" s="48">
        <v>4</v>
      </c>
      <c r="S43" s="48">
        <v>0</v>
      </c>
      <c r="T43" s="48">
        <v>20</v>
      </c>
      <c r="U43" s="48">
        <v>2</v>
      </c>
      <c r="V43" s="48">
        <v>41</v>
      </c>
      <c r="W43" s="48"/>
      <c r="X43" s="48">
        <v>2</v>
      </c>
      <c r="Y43" s="48">
        <v>35</v>
      </c>
      <c r="Z43" s="48">
        <v>11</v>
      </c>
      <c r="AA43" s="48">
        <v>0</v>
      </c>
      <c r="AB43" s="93">
        <v>77</v>
      </c>
      <c r="AC43" s="48">
        <v>12</v>
      </c>
      <c r="AD43" s="48">
        <v>93</v>
      </c>
      <c r="AE43" s="48">
        <v>8</v>
      </c>
      <c r="AF43" s="48"/>
      <c r="AG43" s="48"/>
      <c r="AH43" s="96"/>
    </row>
    <row r="44" spans="2:34" ht="21.75" thickBot="1" x14ac:dyDescent="0.55000000000000004">
      <c r="B44" s="65" t="s">
        <v>9</v>
      </c>
      <c r="C44" s="49"/>
      <c r="D44" s="49"/>
      <c r="E44" s="49">
        <v>540</v>
      </c>
      <c r="F44" s="49"/>
      <c r="G44" s="49">
        <v>1000</v>
      </c>
      <c r="H44" s="49">
        <v>0</v>
      </c>
      <c r="I44" s="49"/>
      <c r="J44" s="49"/>
      <c r="K44" s="49">
        <v>570</v>
      </c>
      <c r="L44" s="49">
        <v>0</v>
      </c>
      <c r="M44" s="49"/>
      <c r="N44" s="49">
        <v>459</v>
      </c>
      <c r="O44" s="49"/>
      <c r="P44" s="49"/>
      <c r="Q44" s="49">
        <v>200</v>
      </c>
      <c r="R44" s="49">
        <v>111</v>
      </c>
      <c r="S44" s="108">
        <v>2421</v>
      </c>
      <c r="T44" s="49"/>
      <c r="U44" s="49"/>
      <c r="V44" s="49"/>
      <c r="W44" s="49"/>
      <c r="X44" s="49">
        <v>1479</v>
      </c>
      <c r="Y44" s="49">
        <v>2734</v>
      </c>
      <c r="Z44" s="108">
        <v>0</v>
      </c>
      <c r="AA44" s="49">
        <v>100</v>
      </c>
      <c r="AB44" s="49">
        <v>0</v>
      </c>
      <c r="AC44" s="49"/>
      <c r="AD44" s="49">
        <v>1400</v>
      </c>
      <c r="AE44" s="49"/>
      <c r="AF44" s="49"/>
      <c r="AG44" s="49"/>
      <c r="AH44" s="50"/>
    </row>
    <row r="45" spans="2:34" ht="21.75" thickBot="1" x14ac:dyDescent="0.55000000000000004">
      <c r="B45" s="66" t="s">
        <v>14</v>
      </c>
      <c r="C45" s="51">
        <f>C44+C42+C39</f>
        <v>0</v>
      </c>
      <c r="D45" s="51">
        <f t="shared" ref="D45:I45" si="4">D44+D42+D39</f>
        <v>106</v>
      </c>
      <c r="E45" s="51">
        <f t="shared" si="4"/>
        <v>1256</v>
      </c>
      <c r="F45" s="51">
        <f t="shared" si="4"/>
        <v>0</v>
      </c>
      <c r="G45" s="51">
        <f t="shared" si="4"/>
        <v>1688</v>
      </c>
      <c r="H45" s="51">
        <f t="shared" si="4"/>
        <v>80</v>
      </c>
      <c r="I45" s="51">
        <f t="shared" si="4"/>
        <v>0</v>
      </c>
      <c r="J45" s="51">
        <f t="shared" ref="J45" si="5">J44+J42+J39</f>
        <v>0</v>
      </c>
      <c r="K45" s="51">
        <f t="shared" ref="K45:AF45" si="6">K44+K42+K39</f>
        <v>1769</v>
      </c>
      <c r="L45" s="51">
        <f t="shared" si="6"/>
        <v>123</v>
      </c>
      <c r="M45" s="51">
        <f t="shared" si="6"/>
        <v>149</v>
      </c>
      <c r="N45" s="51">
        <f t="shared" si="6"/>
        <v>759</v>
      </c>
      <c r="O45" s="51">
        <f t="shared" si="6"/>
        <v>409</v>
      </c>
      <c r="P45" s="51">
        <f t="shared" si="6"/>
        <v>0</v>
      </c>
      <c r="Q45" s="51">
        <f t="shared" si="6"/>
        <v>721</v>
      </c>
      <c r="R45" s="51">
        <f>R44+R42+R39</f>
        <v>779</v>
      </c>
      <c r="S45" s="51">
        <f t="shared" si="6"/>
        <v>2762</v>
      </c>
      <c r="T45" s="51">
        <f t="shared" si="6"/>
        <v>215</v>
      </c>
      <c r="U45" s="51">
        <f t="shared" si="6"/>
        <v>580</v>
      </c>
      <c r="V45" s="51">
        <f t="shared" si="6"/>
        <v>308</v>
      </c>
      <c r="W45" s="51">
        <f t="shared" si="6"/>
        <v>0</v>
      </c>
      <c r="X45" s="51">
        <f t="shared" si="6"/>
        <v>1723</v>
      </c>
      <c r="Y45" s="51">
        <f t="shared" si="6"/>
        <v>3113</v>
      </c>
      <c r="Z45" s="51">
        <f t="shared" si="6"/>
        <v>335</v>
      </c>
      <c r="AA45" s="51">
        <f t="shared" si="6"/>
        <v>973</v>
      </c>
      <c r="AB45" s="51">
        <f t="shared" si="6"/>
        <v>2117</v>
      </c>
      <c r="AC45" s="51">
        <f t="shared" si="6"/>
        <v>307</v>
      </c>
      <c r="AD45" s="51">
        <f t="shared" si="6"/>
        <v>1951</v>
      </c>
      <c r="AE45" s="51">
        <f t="shared" si="6"/>
        <v>298</v>
      </c>
      <c r="AF45" s="51">
        <f t="shared" si="6"/>
        <v>0</v>
      </c>
      <c r="AG45" s="51"/>
      <c r="AH45" s="52"/>
    </row>
    <row r="46" spans="2:34" ht="21.75" thickBot="1" x14ac:dyDescent="0.55000000000000004">
      <c r="B46" s="67" t="s">
        <v>6</v>
      </c>
      <c r="C46" s="77">
        <v>10519</v>
      </c>
      <c r="D46" s="98">
        <f t="shared" ref="D46:H46" si="7">C46-D37</f>
        <v>10155</v>
      </c>
      <c r="E46" s="102">
        <f t="shared" si="7"/>
        <v>6865</v>
      </c>
      <c r="F46" s="102">
        <f>E46-F37</f>
        <v>4730</v>
      </c>
      <c r="G46" s="102">
        <f>F46-G37</f>
        <v>2457</v>
      </c>
      <c r="H46" s="102">
        <f t="shared" si="7"/>
        <v>1890</v>
      </c>
      <c r="I46" s="102">
        <f>31890-I37</f>
        <v>27027</v>
      </c>
      <c r="J46" s="53"/>
      <c r="K46" s="102">
        <f>I46-K37</f>
        <v>23395</v>
      </c>
      <c r="L46" s="102">
        <f>K46-L37</f>
        <v>21359</v>
      </c>
      <c r="M46" s="102">
        <f>L46-M37</f>
        <v>20467</v>
      </c>
      <c r="N46" s="112">
        <f>M46-N37</f>
        <v>18117</v>
      </c>
      <c r="O46" s="112">
        <f>N46-O37</f>
        <v>15193</v>
      </c>
      <c r="P46" s="112"/>
      <c r="Q46" s="112">
        <f>O46-Q37</f>
        <v>12021</v>
      </c>
      <c r="R46" s="112">
        <f t="shared" ref="R46:W46" si="8">Q46-R37</f>
        <v>9693</v>
      </c>
      <c r="S46" s="112">
        <f t="shared" si="8"/>
        <v>7792</v>
      </c>
      <c r="T46" s="112">
        <f t="shared" si="8"/>
        <v>6517</v>
      </c>
      <c r="U46" s="112">
        <f t="shared" si="8"/>
        <v>1284</v>
      </c>
      <c r="V46" s="112">
        <f t="shared" si="8"/>
        <v>101</v>
      </c>
      <c r="W46" s="112">
        <f t="shared" si="8"/>
        <v>101</v>
      </c>
      <c r="X46" s="77">
        <f>30101-X37</f>
        <v>21766</v>
      </c>
      <c r="Y46" s="77">
        <f t="shared" ref="Y46:AE46" si="9">X46-Y37</f>
        <v>18876</v>
      </c>
      <c r="Z46" s="77">
        <f t="shared" si="9"/>
        <v>16778</v>
      </c>
      <c r="AA46" s="77">
        <f t="shared" si="9"/>
        <v>15029</v>
      </c>
      <c r="AB46" s="77">
        <f t="shared" si="9"/>
        <v>7647</v>
      </c>
      <c r="AC46" s="77">
        <f t="shared" si="9"/>
        <v>6942</v>
      </c>
      <c r="AD46" s="77">
        <f t="shared" si="9"/>
        <v>2581</v>
      </c>
      <c r="AE46" s="77">
        <f t="shared" si="9"/>
        <v>2010</v>
      </c>
      <c r="AF46" s="77">
        <f>AD46-AF37</f>
        <v>2581</v>
      </c>
      <c r="AG46" s="53"/>
      <c r="AH46" s="54"/>
    </row>
    <row r="47" spans="2:34" ht="21.75" thickBot="1" x14ac:dyDescent="0.55000000000000004">
      <c r="B47" s="23" t="s">
        <v>31</v>
      </c>
      <c r="C47" s="55">
        <f>(C38+C81+C82+C83)-C37</f>
        <v>0</v>
      </c>
      <c r="D47" s="55">
        <f>(D38+D83+D82+D81)-D37</f>
        <v>233</v>
      </c>
      <c r="E47" s="55">
        <f>(E38+E83+E82+E81)-E37</f>
        <v>503</v>
      </c>
      <c r="F47" s="55">
        <f t="shared" ref="F47:AG47" si="10">(F38+F83+F82+F81)-F37</f>
        <v>-2135</v>
      </c>
      <c r="G47" s="55">
        <f t="shared" si="10"/>
        <v>1406</v>
      </c>
      <c r="H47" s="55">
        <f t="shared" si="10"/>
        <v>376</v>
      </c>
      <c r="I47" s="55">
        <f t="shared" si="10"/>
        <v>879</v>
      </c>
      <c r="J47" s="55">
        <f t="shared" si="10"/>
        <v>0</v>
      </c>
      <c r="K47" s="55">
        <f t="shared" si="10"/>
        <v>504</v>
      </c>
      <c r="L47" s="55">
        <f t="shared" si="10"/>
        <v>606</v>
      </c>
      <c r="M47" s="55">
        <f t="shared" si="10"/>
        <v>80</v>
      </c>
      <c r="N47" s="55">
        <f t="shared" si="10"/>
        <v>791</v>
      </c>
      <c r="O47" s="55">
        <f t="shared" si="10"/>
        <v>987</v>
      </c>
      <c r="P47" s="55">
        <f t="shared" si="10"/>
        <v>0</v>
      </c>
      <c r="Q47" s="55">
        <f>(Q38+Q83+Q82+Q81)-Q37</f>
        <v>329</v>
      </c>
      <c r="R47" s="55">
        <f t="shared" si="10"/>
        <v>230</v>
      </c>
      <c r="S47" s="55">
        <f t="shared" si="10"/>
        <v>200</v>
      </c>
      <c r="T47" s="55">
        <f t="shared" si="10"/>
        <v>111</v>
      </c>
      <c r="U47" s="55">
        <f t="shared" si="10"/>
        <v>52</v>
      </c>
      <c r="V47" s="55">
        <f t="shared" si="10"/>
        <v>759</v>
      </c>
      <c r="W47" s="55">
        <f t="shared" si="10"/>
        <v>0</v>
      </c>
      <c r="X47" s="55">
        <f t="shared" si="10"/>
        <v>2002</v>
      </c>
      <c r="Y47" s="55">
        <f t="shared" si="10"/>
        <v>918</v>
      </c>
      <c r="Z47" s="55">
        <f t="shared" si="10"/>
        <v>363</v>
      </c>
      <c r="AA47" s="55">
        <f t="shared" si="10"/>
        <v>21</v>
      </c>
      <c r="AB47" s="55">
        <f t="shared" si="10"/>
        <v>2532</v>
      </c>
      <c r="AC47" s="55">
        <f>(AC38+AC83+AC82+AC81)-AC37</f>
        <v>453</v>
      </c>
      <c r="AD47" s="55">
        <f t="shared" si="10"/>
        <v>1111</v>
      </c>
      <c r="AE47" s="55">
        <f t="shared" si="10"/>
        <v>112</v>
      </c>
      <c r="AF47" s="55">
        <f t="shared" si="10"/>
        <v>0</v>
      </c>
      <c r="AG47" s="55">
        <f t="shared" si="10"/>
        <v>0</v>
      </c>
      <c r="AH47" s="56">
        <f>SUM(C47:AG47)</f>
        <v>13423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2" t="s">
        <v>17</v>
      </c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/>
      <c r="X56" s="2"/>
      <c r="Y56" s="2"/>
      <c r="Z56" s="89"/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118"/>
    </row>
    <row r="60" spans="2:34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/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51970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2085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13423</v>
      </c>
    </row>
    <row r="74" spans="2:34" ht="24" customHeight="1" x14ac:dyDescent="0.5">
      <c r="B74" s="19" t="s">
        <v>3</v>
      </c>
      <c r="C74" s="21">
        <f>SUM(C38:AG38)</f>
        <v>23297</v>
      </c>
    </row>
    <row r="75" spans="2:34" ht="24" customHeight="1" x14ac:dyDescent="0.5">
      <c r="B75" s="19" t="s">
        <v>4</v>
      </c>
      <c r="C75" s="21">
        <f>SUM(C37:AG37)</f>
        <v>68509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/>
      <c r="D81" s="2"/>
      <c r="E81" s="89">
        <v>1110</v>
      </c>
      <c r="F81" s="2"/>
      <c r="G81" s="2"/>
      <c r="H81" s="2"/>
      <c r="I81" s="2"/>
      <c r="J81" s="2"/>
      <c r="K81" s="2">
        <v>664</v>
      </c>
      <c r="L81" s="2"/>
      <c r="M81" s="2"/>
      <c r="N81" s="89">
        <v>552</v>
      </c>
      <c r="O81" s="2">
        <v>545</v>
      </c>
      <c r="P81" s="89"/>
      <c r="Q81" s="2"/>
      <c r="R81" s="2">
        <v>246</v>
      </c>
      <c r="S81" s="2">
        <v>32</v>
      </c>
      <c r="T81" s="2"/>
      <c r="U81" s="89"/>
      <c r="V81" s="89">
        <v>1942</v>
      </c>
      <c r="W81" s="81"/>
      <c r="X81" s="2"/>
      <c r="Y81" s="2">
        <v>1110</v>
      </c>
      <c r="Z81" s="89">
        <v>130</v>
      </c>
      <c r="AA81" s="2"/>
      <c r="AB81" s="2">
        <v>127</v>
      </c>
      <c r="AC81" s="2"/>
      <c r="AD81" s="89">
        <v>1005</v>
      </c>
      <c r="AE81" s="2">
        <v>300</v>
      </c>
      <c r="AF81" s="2"/>
      <c r="AG81" s="2"/>
    </row>
    <row r="82" spans="2:33" x14ac:dyDescent="0.5">
      <c r="B82" s="19" t="s">
        <v>35</v>
      </c>
      <c r="C82" s="2"/>
      <c r="D82" s="2"/>
      <c r="E82" s="2">
        <v>174</v>
      </c>
      <c r="F82" s="2"/>
      <c r="G82" s="2"/>
      <c r="H82" s="2">
        <v>260</v>
      </c>
      <c r="I82" s="2"/>
      <c r="J82" s="2"/>
      <c r="K82" s="2">
        <v>27</v>
      </c>
      <c r="L82" s="2">
        <v>25</v>
      </c>
      <c r="M82" s="2"/>
      <c r="N82" s="89"/>
      <c r="O82" s="2"/>
      <c r="P82" s="89"/>
      <c r="Q82" s="2"/>
      <c r="R82" s="2"/>
      <c r="S82" s="2"/>
      <c r="T82" s="2"/>
      <c r="U82" s="2"/>
      <c r="V82" s="2"/>
      <c r="W82" s="2"/>
      <c r="X82" s="2"/>
      <c r="Y82" s="2"/>
      <c r="Z82" s="89">
        <v>269</v>
      </c>
      <c r="AA82" s="2"/>
      <c r="AB82" s="2">
        <v>67</v>
      </c>
      <c r="AC82" s="2">
        <v>130</v>
      </c>
      <c r="AD82" s="89">
        <v>22</v>
      </c>
      <c r="AE82" s="2"/>
      <c r="AF82" s="89"/>
      <c r="AG82" s="2"/>
    </row>
    <row r="83" spans="2:33" x14ac:dyDescent="0.5">
      <c r="B83" s="90" t="s">
        <v>41</v>
      </c>
      <c r="C83" s="91"/>
      <c r="D83" s="91">
        <v>381</v>
      </c>
      <c r="E83" s="91">
        <v>632</v>
      </c>
      <c r="F83" s="94"/>
      <c r="G83" s="94">
        <v>3323</v>
      </c>
      <c r="H83" s="91">
        <v>668</v>
      </c>
      <c r="I83" s="94">
        <v>5742</v>
      </c>
      <c r="J83" s="91"/>
      <c r="K83" s="94">
        <v>1359</v>
      </c>
      <c r="L83" s="94">
        <v>2063</v>
      </c>
      <c r="M83" s="94">
        <v>200</v>
      </c>
      <c r="N83" s="94">
        <v>2553</v>
      </c>
      <c r="O83" s="94">
        <v>2807</v>
      </c>
      <c r="P83" s="94"/>
      <c r="Q83" s="91">
        <v>3335</v>
      </c>
      <c r="R83" s="91">
        <v>554</v>
      </c>
      <c r="S83" s="94">
        <v>1065</v>
      </c>
      <c r="T83" s="94">
        <v>883</v>
      </c>
      <c r="U83" s="94">
        <v>138</v>
      </c>
      <c r="V83" s="91"/>
      <c r="W83" s="91"/>
      <c r="X83" s="94">
        <v>9040</v>
      </c>
      <c r="Y83" s="94">
        <v>2185</v>
      </c>
      <c r="Z83" s="94">
        <v>1168</v>
      </c>
      <c r="AA83" s="91">
        <v>53</v>
      </c>
      <c r="AB83" s="94">
        <v>6009</v>
      </c>
      <c r="AC83" s="94">
        <v>990</v>
      </c>
      <c r="AD83" s="94">
        <v>4445</v>
      </c>
      <c r="AE83" s="91">
        <v>305</v>
      </c>
      <c r="AF83" s="91"/>
      <c r="AG83" s="91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H83"/>
  <sheetViews>
    <sheetView tabSelected="1" topLeftCell="A2" zoomScaleNormal="100" workbookViewId="0">
      <pane xSplit="2" ySplit="3" topLeftCell="Y46" activePane="bottomRight" state="frozen"/>
      <selection activeCell="A2" sqref="A2"/>
      <selection pane="topRight" activeCell="C2" sqref="C2"/>
      <selection pane="bottomLeft" activeCell="A5" sqref="A5"/>
      <selection pane="bottomRight" activeCell="AA83" sqref="AA83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45839</v>
      </c>
      <c r="D4" s="27">
        <v>45840</v>
      </c>
      <c r="E4" s="27">
        <v>45841</v>
      </c>
      <c r="F4" s="27">
        <v>45842</v>
      </c>
      <c r="G4" s="27">
        <v>45843</v>
      </c>
      <c r="H4" s="27">
        <v>45844</v>
      </c>
      <c r="I4" s="27">
        <v>45845</v>
      </c>
      <c r="J4" s="27">
        <v>45846</v>
      </c>
      <c r="K4" s="27">
        <v>45847</v>
      </c>
      <c r="L4" s="27">
        <v>45848</v>
      </c>
      <c r="M4" s="27">
        <v>45849</v>
      </c>
      <c r="N4" s="27">
        <v>45850</v>
      </c>
      <c r="O4" s="27">
        <v>45851</v>
      </c>
      <c r="P4" s="27">
        <v>45852</v>
      </c>
      <c r="Q4" s="27">
        <v>45853</v>
      </c>
      <c r="R4" s="27">
        <v>45854</v>
      </c>
      <c r="S4" s="27">
        <v>45855</v>
      </c>
      <c r="T4" s="27">
        <v>45856</v>
      </c>
      <c r="U4" s="27">
        <v>45857</v>
      </c>
      <c r="V4" s="27">
        <v>45858</v>
      </c>
      <c r="W4" s="27">
        <v>45859</v>
      </c>
      <c r="X4" s="27">
        <v>45860</v>
      </c>
      <c r="Y4" s="27">
        <v>45861</v>
      </c>
      <c r="Z4" s="27">
        <v>45862</v>
      </c>
      <c r="AA4" s="27">
        <v>45863</v>
      </c>
      <c r="AB4" s="27">
        <v>45864</v>
      </c>
      <c r="AC4" s="27">
        <v>45865</v>
      </c>
      <c r="AD4" s="27">
        <v>45866</v>
      </c>
      <c r="AE4" s="27">
        <v>45867</v>
      </c>
      <c r="AF4" s="27">
        <v>45868</v>
      </c>
      <c r="AG4" s="27">
        <v>45869</v>
      </c>
      <c r="AH4" s="26" t="s">
        <v>12</v>
      </c>
    </row>
    <row r="5" spans="1:34" ht="21.75" thickBot="1" x14ac:dyDescent="0.55000000000000004">
      <c r="B5" s="58" t="s">
        <v>0</v>
      </c>
      <c r="C5" s="28">
        <f>C15</f>
        <v>8191</v>
      </c>
      <c r="D5" s="28">
        <f t="shared" ref="D5:AG5" si="0">D15</f>
        <v>6877</v>
      </c>
      <c r="E5" s="28">
        <f t="shared" si="0"/>
        <v>1100</v>
      </c>
      <c r="F5" s="28">
        <f t="shared" si="0"/>
        <v>1777</v>
      </c>
      <c r="G5" s="28">
        <f t="shared" si="0"/>
        <v>0</v>
      </c>
      <c r="H5" s="28">
        <f t="shared" si="0"/>
        <v>4695</v>
      </c>
      <c r="I5" s="28">
        <f t="shared" si="0"/>
        <v>518</v>
      </c>
      <c r="J5" s="28">
        <f t="shared" si="0"/>
        <v>4405</v>
      </c>
      <c r="K5" s="28">
        <f t="shared" si="0"/>
        <v>1523</v>
      </c>
      <c r="L5" s="28">
        <f t="shared" si="0"/>
        <v>128</v>
      </c>
      <c r="M5" s="28">
        <f t="shared" si="0"/>
        <v>2732</v>
      </c>
      <c r="N5" s="28">
        <f t="shared" si="0"/>
        <v>0</v>
      </c>
      <c r="O5" s="28">
        <f t="shared" si="0"/>
        <v>256</v>
      </c>
      <c r="P5" s="28">
        <f t="shared" si="0"/>
        <v>250</v>
      </c>
      <c r="Q5" s="28">
        <f t="shared" si="0"/>
        <v>2220</v>
      </c>
      <c r="R5" s="28">
        <f t="shared" si="0"/>
        <v>5475</v>
      </c>
      <c r="S5" s="28">
        <f t="shared" si="0"/>
        <v>1970</v>
      </c>
      <c r="T5" s="28">
        <f t="shared" si="0"/>
        <v>6753</v>
      </c>
      <c r="U5" s="28">
        <f t="shared" si="0"/>
        <v>0</v>
      </c>
      <c r="V5" s="28">
        <f t="shared" si="0"/>
        <v>1075</v>
      </c>
      <c r="W5" s="28">
        <f t="shared" si="0"/>
        <v>3671</v>
      </c>
      <c r="X5" s="28">
        <f t="shared" si="0"/>
        <v>2730</v>
      </c>
      <c r="Y5" s="28">
        <f t="shared" si="0"/>
        <v>6300</v>
      </c>
      <c r="Z5" s="28">
        <f t="shared" si="0"/>
        <v>1330</v>
      </c>
      <c r="AA5" s="28">
        <f t="shared" si="0"/>
        <v>0</v>
      </c>
      <c r="AB5" s="28">
        <f t="shared" si="0"/>
        <v>0</v>
      </c>
      <c r="AC5" s="28">
        <f t="shared" si="0"/>
        <v>0</v>
      </c>
      <c r="AD5" s="28">
        <f t="shared" si="0"/>
        <v>0</v>
      </c>
      <c r="AE5" s="28">
        <f t="shared" si="0"/>
        <v>0</v>
      </c>
      <c r="AF5" s="28">
        <f t="shared" si="0"/>
        <v>0</v>
      </c>
      <c r="AG5" s="28">
        <f t="shared" si="0"/>
        <v>0</v>
      </c>
      <c r="AH5" s="29">
        <f>SUM(C5:AG5)</f>
        <v>63976</v>
      </c>
    </row>
    <row r="6" spans="1:34" x14ac:dyDescent="0.5">
      <c r="B6" s="122"/>
      <c r="C6" s="83" t="s">
        <v>818</v>
      </c>
      <c r="D6" s="83" t="s">
        <v>823</v>
      </c>
      <c r="E6" s="83" t="s">
        <v>827</v>
      </c>
      <c r="F6" s="83" t="s">
        <v>829</v>
      </c>
      <c r="G6" s="83"/>
      <c r="H6" s="83" t="s">
        <v>835</v>
      </c>
      <c r="I6" s="83" t="s">
        <v>786</v>
      </c>
      <c r="J6" s="83" t="s">
        <v>840</v>
      </c>
      <c r="K6" s="83" t="s">
        <v>844</v>
      </c>
      <c r="L6" s="83" t="s">
        <v>848</v>
      </c>
      <c r="M6" s="83" t="s">
        <v>850</v>
      </c>
      <c r="N6" s="83"/>
      <c r="O6" s="83" t="s">
        <v>851</v>
      </c>
      <c r="P6" s="83" t="s">
        <v>852</v>
      </c>
      <c r="Q6" s="83" t="s">
        <v>853</v>
      </c>
      <c r="R6" s="83" t="s">
        <v>856</v>
      </c>
      <c r="S6" s="83" t="s">
        <v>860</v>
      </c>
      <c r="T6" s="83" t="s">
        <v>864</v>
      </c>
      <c r="U6" s="83"/>
      <c r="V6" s="83" t="s">
        <v>761</v>
      </c>
      <c r="W6" s="83" t="s">
        <v>871</v>
      </c>
      <c r="X6" s="83" t="s">
        <v>874</v>
      </c>
      <c r="Y6" s="83" t="s">
        <v>876</v>
      </c>
      <c r="Z6" s="83" t="s">
        <v>882</v>
      </c>
      <c r="AA6" s="83" t="s">
        <v>887</v>
      </c>
      <c r="AB6" s="83"/>
      <c r="AC6" s="83"/>
      <c r="AD6" s="83"/>
      <c r="AE6" s="83"/>
      <c r="AF6" s="83"/>
      <c r="AG6" s="83"/>
      <c r="AH6" s="123"/>
    </row>
    <row r="7" spans="1:34" x14ac:dyDescent="0.5">
      <c r="B7" s="122"/>
      <c r="C7" s="84" t="s">
        <v>819</v>
      </c>
      <c r="D7" s="84" t="s">
        <v>411</v>
      </c>
      <c r="E7" s="84" t="s">
        <v>828</v>
      </c>
      <c r="F7" s="84" t="s">
        <v>830</v>
      </c>
      <c r="G7" s="84"/>
      <c r="H7" s="84" t="s">
        <v>836</v>
      </c>
      <c r="I7" s="84" t="s">
        <v>839</v>
      </c>
      <c r="J7" s="84" t="s">
        <v>841</v>
      </c>
      <c r="K7" s="84" t="s">
        <v>845</v>
      </c>
      <c r="L7" s="84"/>
      <c r="M7" s="84" t="s">
        <v>777</v>
      </c>
      <c r="N7" s="84"/>
      <c r="O7" s="84"/>
      <c r="P7" s="84"/>
      <c r="Q7" s="84" t="s">
        <v>854</v>
      </c>
      <c r="R7" s="84" t="s">
        <v>857</v>
      </c>
      <c r="S7" s="84" t="s">
        <v>861</v>
      </c>
      <c r="T7" s="84" t="s">
        <v>865</v>
      </c>
      <c r="U7" s="84"/>
      <c r="V7" s="84" t="s">
        <v>869</v>
      </c>
      <c r="W7" s="84" t="s">
        <v>872</v>
      </c>
      <c r="X7" s="84" t="s">
        <v>875</v>
      </c>
      <c r="Y7" s="84" t="s">
        <v>877</v>
      </c>
      <c r="Z7" s="84" t="s">
        <v>883</v>
      </c>
      <c r="AA7" s="84" t="s">
        <v>888</v>
      </c>
      <c r="AB7" s="84"/>
      <c r="AC7" s="84"/>
      <c r="AD7" s="84"/>
      <c r="AE7" s="84"/>
      <c r="AF7" s="84"/>
      <c r="AG7" s="84"/>
      <c r="AH7" s="123"/>
    </row>
    <row r="8" spans="1:34" x14ac:dyDescent="0.5">
      <c r="B8" s="122"/>
      <c r="C8" s="84" t="s">
        <v>820</v>
      </c>
      <c r="D8" s="84" t="s">
        <v>824</v>
      </c>
      <c r="E8" s="84"/>
      <c r="F8" s="84" t="s">
        <v>831</v>
      </c>
      <c r="G8" s="84"/>
      <c r="H8" s="84" t="s">
        <v>711</v>
      </c>
      <c r="I8" s="84"/>
      <c r="J8" s="84" t="s">
        <v>842</v>
      </c>
      <c r="K8" s="84" t="s">
        <v>846</v>
      </c>
      <c r="L8" s="84"/>
      <c r="M8" s="84" t="s">
        <v>849</v>
      </c>
      <c r="N8" s="84"/>
      <c r="O8" s="84"/>
      <c r="P8" s="84"/>
      <c r="Q8" s="84" t="s">
        <v>855</v>
      </c>
      <c r="R8" s="84" t="s">
        <v>858</v>
      </c>
      <c r="S8" s="84" t="s">
        <v>862</v>
      </c>
      <c r="T8" s="84" t="s">
        <v>866</v>
      </c>
      <c r="U8" s="84"/>
      <c r="V8" s="84" t="s">
        <v>870</v>
      </c>
      <c r="W8" s="84" t="s">
        <v>873</v>
      </c>
      <c r="X8" s="84"/>
      <c r="Y8" s="84" t="s">
        <v>878</v>
      </c>
      <c r="Z8" s="84" t="s">
        <v>884</v>
      </c>
      <c r="AA8" s="84"/>
      <c r="AB8" s="84"/>
      <c r="AC8" s="84"/>
      <c r="AD8" s="84"/>
      <c r="AE8" s="84"/>
      <c r="AF8" s="84"/>
      <c r="AG8" s="84"/>
      <c r="AH8" s="123"/>
    </row>
    <row r="9" spans="1:34" x14ac:dyDescent="0.5">
      <c r="B9" s="122"/>
      <c r="C9" s="84" t="s">
        <v>821</v>
      </c>
      <c r="D9" s="84" t="s">
        <v>825</v>
      </c>
      <c r="E9" s="84"/>
      <c r="F9" s="84" t="s">
        <v>832</v>
      </c>
      <c r="G9" s="84"/>
      <c r="H9" s="84" t="s">
        <v>837</v>
      </c>
      <c r="I9" s="84"/>
      <c r="J9" s="84" t="s">
        <v>843</v>
      </c>
      <c r="K9" s="84" t="s">
        <v>847</v>
      </c>
      <c r="L9" s="84"/>
      <c r="M9" s="84"/>
      <c r="N9" s="84"/>
      <c r="O9" s="84"/>
      <c r="P9" s="84"/>
      <c r="Q9" s="84"/>
      <c r="R9" s="84" t="s">
        <v>859</v>
      </c>
      <c r="S9" s="84" t="s">
        <v>863</v>
      </c>
      <c r="T9" s="84" t="s">
        <v>868</v>
      </c>
      <c r="U9" s="84"/>
      <c r="V9" s="84"/>
      <c r="W9" s="84"/>
      <c r="X9" s="84"/>
      <c r="Y9" s="84" t="s">
        <v>879</v>
      </c>
      <c r="Z9" s="84" t="s">
        <v>886</v>
      </c>
      <c r="AA9" s="84"/>
      <c r="AB9" s="84"/>
      <c r="AC9" s="84"/>
      <c r="AD9" s="84"/>
      <c r="AE9" s="84"/>
      <c r="AF9" s="84"/>
      <c r="AG9" s="84"/>
      <c r="AH9" s="123"/>
    </row>
    <row r="10" spans="1:34" x14ac:dyDescent="0.5">
      <c r="B10" s="122"/>
      <c r="C10" s="84" t="s">
        <v>822</v>
      </c>
      <c r="D10" s="84" t="s">
        <v>826</v>
      </c>
      <c r="E10" s="84"/>
      <c r="F10" s="84" t="s">
        <v>834</v>
      </c>
      <c r="G10" s="84"/>
      <c r="H10" s="84" t="s">
        <v>800</v>
      </c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 t="s">
        <v>867</v>
      </c>
      <c r="U10" s="84"/>
      <c r="V10" s="84"/>
      <c r="W10" s="84"/>
      <c r="X10" s="84"/>
      <c r="Y10" s="84" t="s">
        <v>880</v>
      </c>
      <c r="Z10" s="84" t="s">
        <v>885</v>
      </c>
      <c r="AA10" s="84"/>
      <c r="AB10" s="84"/>
      <c r="AC10" s="84"/>
      <c r="AD10" s="84"/>
      <c r="AE10" s="84"/>
      <c r="AF10" s="84"/>
      <c r="AG10" s="84"/>
      <c r="AH10" s="123"/>
    </row>
    <row r="11" spans="1:34" x14ac:dyDescent="0.5">
      <c r="B11" s="122"/>
      <c r="C11" s="84"/>
      <c r="D11" s="84"/>
      <c r="E11" s="84"/>
      <c r="F11" s="84" t="s">
        <v>833</v>
      </c>
      <c r="G11" s="84"/>
      <c r="H11" s="84" t="s">
        <v>838</v>
      </c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 t="s">
        <v>881</v>
      </c>
      <c r="Z11" s="84"/>
      <c r="AA11" s="84"/>
      <c r="AB11" s="84"/>
      <c r="AC11" s="84"/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8191</v>
      </c>
      <c r="D15" s="31">
        <f t="shared" ref="D15:AG15" si="1">SUM(D16:D22)</f>
        <v>6877</v>
      </c>
      <c r="E15" s="31">
        <f t="shared" si="1"/>
        <v>1100</v>
      </c>
      <c r="F15" s="31">
        <f t="shared" si="1"/>
        <v>1777</v>
      </c>
      <c r="G15" s="31">
        <f t="shared" si="1"/>
        <v>0</v>
      </c>
      <c r="H15" s="31">
        <f t="shared" ref="H15" si="2">SUM(H16:H22)</f>
        <v>4695</v>
      </c>
      <c r="I15" s="31">
        <f t="shared" si="1"/>
        <v>518</v>
      </c>
      <c r="J15" s="31">
        <f t="shared" si="1"/>
        <v>4405</v>
      </c>
      <c r="K15" s="31">
        <f t="shared" si="1"/>
        <v>1523</v>
      </c>
      <c r="L15" s="31">
        <f t="shared" si="1"/>
        <v>128</v>
      </c>
      <c r="M15" s="31">
        <f t="shared" si="1"/>
        <v>2732</v>
      </c>
      <c r="N15" s="31">
        <f t="shared" si="1"/>
        <v>0</v>
      </c>
      <c r="O15" s="31">
        <f t="shared" si="1"/>
        <v>256</v>
      </c>
      <c r="P15" s="31">
        <f t="shared" si="1"/>
        <v>250</v>
      </c>
      <c r="Q15" s="31">
        <f t="shared" si="1"/>
        <v>2220</v>
      </c>
      <c r="R15" s="31">
        <f t="shared" si="1"/>
        <v>5475</v>
      </c>
      <c r="S15" s="31">
        <f t="shared" si="1"/>
        <v>1970</v>
      </c>
      <c r="T15" s="31">
        <f t="shared" si="1"/>
        <v>6753</v>
      </c>
      <c r="U15" s="31">
        <f t="shared" si="1"/>
        <v>0</v>
      </c>
      <c r="V15" s="31">
        <f t="shared" si="1"/>
        <v>1075</v>
      </c>
      <c r="W15" s="31">
        <f t="shared" si="1"/>
        <v>3671</v>
      </c>
      <c r="X15" s="31">
        <f t="shared" si="1"/>
        <v>2730</v>
      </c>
      <c r="Y15" s="31">
        <f t="shared" si="1"/>
        <v>6300</v>
      </c>
      <c r="Z15" s="31">
        <f t="shared" si="1"/>
        <v>1330</v>
      </c>
      <c r="AA15" s="31">
        <f t="shared" si="1"/>
        <v>0</v>
      </c>
      <c r="AB15" s="31">
        <f t="shared" si="1"/>
        <v>0</v>
      </c>
      <c r="AC15" s="31">
        <f t="shared" si="1"/>
        <v>0</v>
      </c>
      <c r="AD15" s="31">
        <f t="shared" si="1"/>
        <v>0</v>
      </c>
      <c r="AE15" s="31">
        <f t="shared" si="1"/>
        <v>0</v>
      </c>
      <c r="AF15" s="31">
        <f t="shared" si="1"/>
        <v>0</v>
      </c>
      <c r="AG15" s="31">
        <f t="shared" si="1"/>
        <v>0</v>
      </c>
      <c r="AH15" s="32">
        <f>SUM(C15:AG15)</f>
        <v>63976</v>
      </c>
    </row>
    <row r="16" spans="1:34" x14ac:dyDescent="0.5">
      <c r="B16" s="60" t="s">
        <v>18</v>
      </c>
      <c r="C16" s="30">
        <v>2226</v>
      </c>
      <c r="D16" s="30">
        <v>1185</v>
      </c>
      <c r="E16" s="30">
        <v>25</v>
      </c>
      <c r="F16" s="30">
        <v>350</v>
      </c>
      <c r="G16" s="30"/>
      <c r="H16" s="30">
        <v>223</v>
      </c>
      <c r="I16" s="30"/>
      <c r="J16" s="30">
        <v>4100</v>
      </c>
      <c r="K16" s="30">
        <v>40</v>
      </c>
      <c r="L16" s="30"/>
      <c r="M16" s="30">
        <v>2016</v>
      </c>
      <c r="N16" s="30"/>
      <c r="O16" s="30"/>
      <c r="P16" s="30"/>
      <c r="Q16" s="30"/>
      <c r="R16" s="30"/>
      <c r="S16" s="30"/>
      <c r="T16" s="30">
        <v>6332</v>
      </c>
      <c r="U16" s="30"/>
      <c r="V16" s="30"/>
      <c r="W16" s="30">
        <v>2144</v>
      </c>
      <c r="X16" s="30">
        <v>2730</v>
      </c>
      <c r="Y16" s="30">
        <v>320</v>
      </c>
      <c r="Z16" s="30">
        <v>710</v>
      </c>
      <c r="AA16" s="30"/>
      <c r="AB16" s="30"/>
      <c r="AC16" s="30"/>
      <c r="AD16" s="30"/>
      <c r="AE16" s="30"/>
      <c r="AF16" s="30"/>
      <c r="AG16" s="30"/>
      <c r="AH16" s="10"/>
    </row>
    <row r="17" spans="2:34" x14ac:dyDescent="0.5">
      <c r="B17" s="61" t="s">
        <v>19</v>
      </c>
      <c r="C17" s="22"/>
      <c r="D17" s="22"/>
      <c r="E17" s="22"/>
      <c r="F17" s="22"/>
      <c r="G17" s="22"/>
      <c r="H17" s="22">
        <v>2071</v>
      </c>
      <c r="I17" s="22">
        <v>174</v>
      </c>
      <c r="J17" s="22">
        <v>87</v>
      </c>
      <c r="K17" s="22">
        <v>1005</v>
      </c>
      <c r="L17" s="22"/>
      <c r="M17" s="22"/>
      <c r="N17" s="22"/>
      <c r="O17" s="22"/>
      <c r="P17" s="22"/>
      <c r="Q17" s="22">
        <v>900</v>
      </c>
      <c r="R17" s="22">
        <v>1080</v>
      </c>
      <c r="S17" s="22">
        <v>1030</v>
      </c>
      <c r="T17" s="22">
        <v>130</v>
      </c>
      <c r="U17" s="22"/>
      <c r="V17" s="22"/>
      <c r="W17" s="22"/>
      <c r="X17" s="22"/>
      <c r="Y17" s="22">
        <v>2450</v>
      </c>
      <c r="Z17" s="22">
        <v>53</v>
      </c>
      <c r="AA17" s="22"/>
      <c r="AB17" s="22"/>
      <c r="AC17" s="22"/>
      <c r="AD17" s="22"/>
      <c r="AE17" s="22"/>
      <c r="AF17" s="22"/>
      <c r="AG17" s="22"/>
      <c r="AH17" s="10"/>
    </row>
    <row r="18" spans="2:34" x14ac:dyDescent="0.5">
      <c r="B18" s="61" t="s">
        <v>20</v>
      </c>
      <c r="C18" s="22">
        <v>5965</v>
      </c>
      <c r="D18" s="22">
        <v>5692</v>
      </c>
      <c r="E18" s="22">
        <v>1075</v>
      </c>
      <c r="F18" s="22">
        <v>1183</v>
      </c>
      <c r="G18" s="22"/>
      <c r="H18" s="22">
        <v>2329</v>
      </c>
      <c r="I18" s="22">
        <v>344</v>
      </c>
      <c r="J18" s="22"/>
      <c r="K18" s="22">
        <v>208</v>
      </c>
      <c r="L18" s="22"/>
      <c r="M18" s="22">
        <v>602</v>
      </c>
      <c r="N18" s="22"/>
      <c r="O18" s="22"/>
      <c r="P18" s="22">
        <v>250</v>
      </c>
      <c r="Q18" s="22">
        <v>1320</v>
      </c>
      <c r="R18" s="22">
        <v>4395</v>
      </c>
      <c r="S18" s="22">
        <v>738</v>
      </c>
      <c r="T18" s="22">
        <v>291</v>
      </c>
      <c r="U18" s="22"/>
      <c r="V18" s="22">
        <v>983</v>
      </c>
      <c r="W18" s="22">
        <v>1527</v>
      </c>
      <c r="X18" s="22"/>
      <c r="Y18" s="22">
        <v>3530</v>
      </c>
      <c r="Z18" s="22">
        <v>475</v>
      </c>
      <c r="AA18" s="22"/>
      <c r="AB18" s="22"/>
      <c r="AC18" s="22"/>
      <c r="AD18" s="22"/>
      <c r="AE18" s="22"/>
      <c r="AF18" s="22"/>
      <c r="AG18" s="22"/>
      <c r="AH18" s="10"/>
    </row>
    <row r="19" spans="2:34" x14ac:dyDescent="0.5">
      <c r="B19" s="61" t="s">
        <v>21</v>
      </c>
      <c r="C19" s="22"/>
      <c r="D19" s="22"/>
      <c r="E19" s="22"/>
      <c r="F19" s="22"/>
      <c r="G19" s="22"/>
      <c r="H19" s="22">
        <v>72</v>
      </c>
      <c r="I19" s="22"/>
      <c r="J19" s="22"/>
      <c r="K19" s="22">
        <v>270</v>
      </c>
      <c r="L19" s="22"/>
      <c r="M19" s="22">
        <v>114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>
        <v>92</v>
      </c>
      <c r="AA19" s="22"/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22</v>
      </c>
      <c r="C20" s="22"/>
      <c r="D20" s="22"/>
      <c r="E20" s="22"/>
      <c r="F20" s="22">
        <v>244</v>
      </c>
      <c r="G20" s="22"/>
      <c r="H20" s="22"/>
      <c r="I20" s="22"/>
      <c r="J20" s="22"/>
      <c r="K20" s="22"/>
      <c r="L20" s="22">
        <v>128</v>
      </c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10"/>
    </row>
    <row r="21" spans="2:34" x14ac:dyDescent="0.5">
      <c r="B21" s="61" t="s">
        <v>32</v>
      </c>
      <c r="C21" s="22"/>
      <c r="D21" s="22"/>
      <c r="E21" s="22"/>
      <c r="F21" s="22"/>
      <c r="G21" s="22"/>
      <c r="H21" s="22"/>
      <c r="I21" s="22"/>
      <c r="J21" s="22">
        <v>139</v>
      </c>
      <c r="K21" s="22"/>
      <c r="L21" s="22"/>
      <c r="M21" s="22"/>
      <c r="N21" s="22"/>
      <c r="O21" s="22">
        <v>256</v>
      </c>
      <c r="P21" s="22"/>
      <c r="Q21" s="22"/>
      <c r="R21" s="22"/>
      <c r="S21" s="22">
        <v>202</v>
      </c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10"/>
    </row>
    <row r="22" spans="2:34" ht="21.75" thickBot="1" x14ac:dyDescent="0.55000000000000004">
      <c r="B22" s="62" t="s">
        <v>33</v>
      </c>
      <c r="C22" s="33"/>
      <c r="D22" s="33"/>
      <c r="E22" s="33"/>
      <c r="F22" s="33"/>
      <c r="G22" s="33"/>
      <c r="H22" s="33"/>
      <c r="I22" s="33"/>
      <c r="J22" s="33">
        <v>79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>
        <v>92</v>
      </c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90</v>
      </c>
      <c r="D23" s="37">
        <f t="shared" ref="D23:AG23" si="3">SUM(D24:D36)</f>
        <v>0</v>
      </c>
      <c r="E23" s="37">
        <f t="shared" si="3"/>
        <v>110</v>
      </c>
      <c r="F23" s="37">
        <f t="shared" si="3"/>
        <v>10</v>
      </c>
      <c r="G23" s="37">
        <f t="shared" si="3"/>
        <v>0</v>
      </c>
      <c r="H23" s="37">
        <f t="shared" si="3"/>
        <v>90</v>
      </c>
      <c r="I23" s="37">
        <f t="shared" si="3"/>
        <v>150</v>
      </c>
      <c r="J23" s="37">
        <f t="shared" si="3"/>
        <v>8</v>
      </c>
      <c r="K23" s="37">
        <f t="shared" si="3"/>
        <v>289</v>
      </c>
      <c r="L23" s="37">
        <f t="shared" si="3"/>
        <v>176</v>
      </c>
      <c r="M23" s="37">
        <f t="shared" si="3"/>
        <v>55</v>
      </c>
      <c r="N23" s="37">
        <f t="shared" si="3"/>
        <v>0</v>
      </c>
      <c r="O23" s="37">
        <f t="shared" si="3"/>
        <v>6</v>
      </c>
      <c r="P23" s="37">
        <f t="shared" si="3"/>
        <v>110</v>
      </c>
      <c r="Q23" s="37">
        <f t="shared" si="3"/>
        <v>56</v>
      </c>
      <c r="R23" s="37">
        <f t="shared" si="3"/>
        <v>198</v>
      </c>
      <c r="S23" s="37">
        <f t="shared" si="3"/>
        <v>529</v>
      </c>
      <c r="T23" s="37">
        <f t="shared" si="3"/>
        <v>0</v>
      </c>
      <c r="U23" s="37">
        <f t="shared" si="3"/>
        <v>0</v>
      </c>
      <c r="V23" s="37">
        <f t="shared" si="3"/>
        <v>35</v>
      </c>
      <c r="W23" s="37">
        <f t="shared" si="3"/>
        <v>297</v>
      </c>
      <c r="X23" s="37">
        <f t="shared" si="3"/>
        <v>375</v>
      </c>
      <c r="Y23" s="37">
        <f t="shared" si="3"/>
        <v>41</v>
      </c>
      <c r="Z23" s="37">
        <f t="shared" si="3"/>
        <v>30</v>
      </c>
      <c r="AA23" s="37">
        <f t="shared" si="3"/>
        <v>151</v>
      </c>
      <c r="AB23" s="37">
        <f t="shared" si="3"/>
        <v>0</v>
      </c>
      <c r="AC23" s="37">
        <f t="shared" si="3"/>
        <v>0</v>
      </c>
      <c r="AD23" s="37">
        <f t="shared" si="3"/>
        <v>0</v>
      </c>
      <c r="AE23" s="37">
        <f t="shared" si="3"/>
        <v>0</v>
      </c>
      <c r="AF23" s="37">
        <f t="shared" si="3"/>
        <v>0</v>
      </c>
      <c r="AG23" s="37">
        <f t="shared" si="3"/>
        <v>0</v>
      </c>
      <c r="AH23" s="38">
        <f>SUM(C23:AG23)</f>
        <v>2806</v>
      </c>
    </row>
    <row r="24" spans="2:34" x14ac:dyDescent="0.5">
      <c r="B24" s="35" t="s">
        <v>24</v>
      </c>
      <c r="C24" s="36"/>
      <c r="D24" s="36"/>
      <c r="E24" s="36"/>
      <c r="F24" s="36"/>
      <c r="G24" s="36"/>
      <c r="H24" s="36"/>
      <c r="I24" s="36"/>
      <c r="J24" s="36">
        <v>6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/>
      <c r="E25" s="8"/>
      <c r="F25" s="8"/>
      <c r="G25" s="8"/>
      <c r="H25" s="8">
        <v>13</v>
      </c>
      <c r="I25" s="8"/>
      <c r="J25" s="8">
        <v>2</v>
      </c>
      <c r="K25" s="8">
        <v>74</v>
      </c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>
        <v>20</v>
      </c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6"/>
    </row>
    <row r="26" spans="2:34" x14ac:dyDescent="0.5">
      <c r="B26" s="11" t="s">
        <v>26</v>
      </c>
      <c r="C26" s="8"/>
      <c r="D26" s="8"/>
      <c r="E26" s="8"/>
      <c r="F26" s="8"/>
      <c r="G26" s="8"/>
      <c r="H26" s="8">
        <v>6</v>
      </c>
      <c r="I26" s="8">
        <v>115</v>
      </c>
      <c r="J26" s="8"/>
      <c r="K26" s="8">
        <v>165</v>
      </c>
      <c r="L26" s="8"/>
      <c r="M26" s="8"/>
      <c r="N26" s="8"/>
      <c r="O26" s="8"/>
      <c r="P26" s="8"/>
      <c r="Q26" s="8"/>
      <c r="R26" s="8"/>
      <c r="S26" s="8">
        <v>60</v>
      </c>
      <c r="T26" s="8"/>
      <c r="U26" s="8"/>
      <c r="V26" s="8"/>
      <c r="W26" s="8">
        <v>90</v>
      </c>
      <c r="X26" s="8"/>
      <c r="Y26" s="8">
        <v>22</v>
      </c>
      <c r="Z26" s="8"/>
      <c r="AA26" s="8">
        <v>6</v>
      </c>
      <c r="AB26" s="8"/>
      <c r="AC26" s="8"/>
      <c r="AD26" s="8"/>
      <c r="AE26" s="8"/>
      <c r="AF26" s="8"/>
      <c r="AG26" s="8"/>
      <c r="AH26" s="6"/>
    </row>
    <row r="27" spans="2:34" x14ac:dyDescent="0.5">
      <c r="B27" s="11" t="s">
        <v>23</v>
      </c>
      <c r="C27" s="8">
        <v>50</v>
      </c>
      <c r="D27" s="8"/>
      <c r="E27" s="8"/>
      <c r="F27" s="8"/>
      <c r="G27" s="8"/>
      <c r="H27" s="8">
        <v>50</v>
      </c>
      <c r="I27" s="8">
        <v>35</v>
      </c>
      <c r="J27" s="8"/>
      <c r="K27" s="8">
        <v>50</v>
      </c>
      <c r="L27" s="8"/>
      <c r="M27" s="8"/>
      <c r="N27" s="8"/>
      <c r="O27" s="8">
        <v>6</v>
      </c>
      <c r="P27" s="8">
        <v>50</v>
      </c>
      <c r="Q27" s="8">
        <v>50</v>
      </c>
      <c r="R27" s="8">
        <v>198</v>
      </c>
      <c r="S27" s="8">
        <v>100</v>
      </c>
      <c r="T27" s="8"/>
      <c r="U27" s="8"/>
      <c r="V27" s="8"/>
      <c r="W27" s="8">
        <v>10</v>
      </c>
      <c r="X27" s="8">
        <v>65</v>
      </c>
      <c r="Y27" s="8">
        <v>13</v>
      </c>
      <c r="Z27" s="8">
        <v>30</v>
      </c>
      <c r="AA27" s="8">
        <v>40</v>
      </c>
      <c r="AB27" s="8"/>
      <c r="AC27" s="8"/>
      <c r="AD27" s="8"/>
      <c r="AE27" s="8"/>
      <c r="AF27" s="8"/>
      <c r="AG27" s="8"/>
      <c r="AH27" s="6"/>
    </row>
    <row r="28" spans="2:34" x14ac:dyDescent="0.5">
      <c r="B28" s="11" t="s">
        <v>27</v>
      </c>
      <c r="C28" s="8">
        <v>40</v>
      </c>
      <c r="D28" s="8"/>
      <c r="E28" s="8"/>
      <c r="F28" s="8"/>
      <c r="G28" s="8"/>
      <c r="H28" s="8">
        <v>21</v>
      </c>
      <c r="I28" s="8"/>
      <c r="J28" s="8"/>
      <c r="K28" s="8"/>
      <c r="L28" s="8">
        <v>6</v>
      </c>
      <c r="M28" s="8">
        <v>50</v>
      </c>
      <c r="N28" s="8"/>
      <c r="O28" s="8"/>
      <c r="P28" s="8">
        <v>35</v>
      </c>
      <c r="Q28" s="8">
        <v>6</v>
      </c>
      <c r="R28" s="8"/>
      <c r="S28" s="8">
        <v>165</v>
      </c>
      <c r="T28" s="8"/>
      <c r="U28" s="8"/>
      <c r="V28" s="8">
        <v>2</v>
      </c>
      <c r="W28" s="8">
        <v>22</v>
      </c>
      <c r="X28" s="8">
        <v>100</v>
      </c>
      <c r="Y28" s="8">
        <v>6</v>
      </c>
      <c r="Z28" s="8"/>
      <c r="AA28" s="8">
        <v>45</v>
      </c>
      <c r="AB28" s="8"/>
      <c r="AC28" s="8"/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>
        <v>50</v>
      </c>
      <c r="M29" s="8">
        <v>5</v>
      </c>
      <c r="N29" s="8"/>
      <c r="O29" s="8"/>
      <c r="P29" s="8">
        <v>25</v>
      </c>
      <c r="Q29" s="8"/>
      <c r="R29" s="8"/>
      <c r="S29" s="8">
        <v>6</v>
      </c>
      <c r="T29" s="8"/>
      <c r="U29" s="8"/>
      <c r="V29" s="8">
        <v>6</v>
      </c>
      <c r="W29" s="8">
        <v>30</v>
      </c>
      <c r="X29" s="8">
        <v>50</v>
      </c>
      <c r="Y29" s="8"/>
      <c r="Z29" s="8"/>
      <c r="AA29" s="8">
        <v>55</v>
      </c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>
        <v>120</v>
      </c>
      <c r="M30" s="8"/>
      <c r="N30" s="8"/>
      <c r="O30" s="8"/>
      <c r="P30" s="8"/>
      <c r="Q30" s="8"/>
      <c r="R30" s="8"/>
      <c r="S30" s="8"/>
      <c r="T30" s="8"/>
      <c r="U30" s="8"/>
      <c r="V30" s="8">
        <v>2</v>
      </c>
      <c r="W30" s="8">
        <v>50</v>
      </c>
      <c r="X30" s="8">
        <v>130</v>
      </c>
      <c r="Y30" s="8"/>
      <c r="Z30" s="8"/>
      <c r="AA30" s="8">
        <v>5</v>
      </c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>
        <v>10</v>
      </c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>
        <v>25</v>
      </c>
      <c r="W31" s="8">
        <v>25</v>
      </c>
      <c r="X31" s="8">
        <v>30</v>
      </c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>
        <v>198</v>
      </c>
      <c r="T32" s="8"/>
      <c r="U32" s="8"/>
      <c r="V32" s="8"/>
      <c r="W32" s="8">
        <v>50</v>
      </c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>
        <v>6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>
        <v>50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6"/>
    </row>
    <row r="35" spans="2:34" x14ac:dyDescent="0.5">
      <c r="B35" s="11" t="s">
        <v>48</v>
      </c>
      <c r="C35" s="8"/>
      <c r="D35" s="8"/>
      <c r="E35" s="8">
        <v>54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8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>
        <v>5281</v>
      </c>
      <c r="D37" s="87">
        <v>1729</v>
      </c>
      <c r="E37" s="87">
        <v>6720</v>
      </c>
      <c r="F37" s="87">
        <v>1331</v>
      </c>
      <c r="G37" s="87"/>
      <c r="H37" s="45">
        <v>2168</v>
      </c>
      <c r="I37" s="87">
        <v>2804</v>
      </c>
      <c r="J37" s="45">
        <v>299</v>
      </c>
      <c r="K37" s="87">
        <v>6537</v>
      </c>
      <c r="L37" s="87">
        <v>564</v>
      </c>
      <c r="M37" s="87">
        <v>697</v>
      </c>
      <c r="N37" s="45"/>
      <c r="O37" s="45">
        <v>210</v>
      </c>
      <c r="P37" s="87">
        <v>4161</v>
      </c>
      <c r="Q37" s="87">
        <v>1711</v>
      </c>
      <c r="R37" s="87">
        <v>19798</v>
      </c>
      <c r="S37" s="87">
        <v>1419</v>
      </c>
      <c r="T37" s="87">
        <v>2204</v>
      </c>
      <c r="U37" s="45"/>
      <c r="V37" s="78">
        <v>1204</v>
      </c>
      <c r="W37" s="44">
        <v>10540</v>
      </c>
      <c r="X37" s="45">
        <v>4510</v>
      </c>
      <c r="Y37" s="87">
        <v>1080</v>
      </c>
      <c r="Z37" s="87">
        <v>3530</v>
      </c>
      <c r="AA37" s="87">
        <v>1385</v>
      </c>
      <c r="AB37" s="87"/>
      <c r="AC37" s="44"/>
      <c r="AD37" s="44"/>
      <c r="AE37" s="44"/>
      <c r="AF37" s="44"/>
      <c r="AG37" s="44"/>
      <c r="AH37" s="46">
        <f>SUM(C37:AG37)</f>
        <v>79882</v>
      </c>
    </row>
    <row r="38" spans="2:34" x14ac:dyDescent="0.5">
      <c r="B38" s="42" t="s">
        <v>3</v>
      </c>
      <c r="C38" s="88">
        <v>2390</v>
      </c>
      <c r="D38" s="43">
        <v>85</v>
      </c>
      <c r="E38" s="88">
        <v>1783</v>
      </c>
      <c r="F38" s="43">
        <v>0</v>
      </c>
      <c r="G38" s="88"/>
      <c r="H38" s="43">
        <v>0</v>
      </c>
      <c r="I38" s="43">
        <v>455</v>
      </c>
      <c r="J38" s="43">
        <v>0</v>
      </c>
      <c r="K38" s="88">
        <v>772</v>
      </c>
      <c r="L38" s="43">
        <v>363</v>
      </c>
      <c r="M38" s="43">
        <v>65</v>
      </c>
      <c r="N38" s="43"/>
      <c r="O38" s="43"/>
      <c r="P38" s="88">
        <v>3832</v>
      </c>
      <c r="Q38" s="88">
        <v>114</v>
      </c>
      <c r="R38" s="43">
        <v>15679</v>
      </c>
      <c r="S38" s="88">
        <v>602</v>
      </c>
      <c r="T38" s="43">
        <v>82</v>
      </c>
      <c r="U38" s="43"/>
      <c r="V38" s="43">
        <v>0</v>
      </c>
      <c r="W38" s="43">
        <v>1047</v>
      </c>
      <c r="X38" s="88">
        <v>3683</v>
      </c>
      <c r="Y38" s="43">
        <v>394</v>
      </c>
      <c r="Z38" s="88">
        <v>258</v>
      </c>
      <c r="AA38" s="43">
        <v>1030</v>
      </c>
      <c r="AB38" s="43"/>
      <c r="AC38" s="95"/>
      <c r="AD38" s="95"/>
      <c r="AE38" s="95"/>
      <c r="AF38" s="95"/>
      <c r="AG38" s="95"/>
      <c r="AH38" s="7"/>
    </row>
    <row r="39" spans="2:34" x14ac:dyDescent="0.5">
      <c r="B39" s="15" t="s">
        <v>10</v>
      </c>
      <c r="C39" s="9">
        <v>542</v>
      </c>
      <c r="D39" s="9">
        <v>23</v>
      </c>
      <c r="E39" s="9">
        <v>235</v>
      </c>
      <c r="F39" s="9">
        <v>0</v>
      </c>
      <c r="G39" s="9"/>
      <c r="H39" s="9">
        <v>0</v>
      </c>
      <c r="I39" s="9">
        <v>91</v>
      </c>
      <c r="J39" s="9">
        <v>0</v>
      </c>
      <c r="K39" s="9">
        <v>603</v>
      </c>
      <c r="L39" s="9">
        <v>116</v>
      </c>
      <c r="M39" s="9">
        <v>23</v>
      </c>
      <c r="N39" s="9"/>
      <c r="O39" s="9"/>
      <c r="P39" s="107">
        <v>1061</v>
      </c>
      <c r="Q39" s="9">
        <v>15</v>
      </c>
      <c r="R39" s="9">
        <v>48</v>
      </c>
      <c r="S39" s="9">
        <v>118</v>
      </c>
      <c r="T39" s="9">
        <v>24</v>
      </c>
      <c r="U39" s="9"/>
      <c r="V39" s="9">
        <v>0</v>
      </c>
      <c r="W39" s="9">
        <v>200</v>
      </c>
      <c r="X39" s="9">
        <v>0</v>
      </c>
      <c r="Y39" s="9">
        <v>66</v>
      </c>
      <c r="Z39" s="9">
        <v>100</v>
      </c>
      <c r="AA39" s="9">
        <v>352</v>
      </c>
      <c r="AB39" s="9"/>
      <c r="AC39" s="9"/>
      <c r="AD39" s="9"/>
      <c r="AE39" s="9"/>
      <c r="AF39" s="9"/>
      <c r="AG39" s="9"/>
      <c r="AH39" s="14"/>
    </row>
    <row r="40" spans="2:34" x14ac:dyDescent="0.5">
      <c r="B40" s="15" t="s">
        <v>11</v>
      </c>
      <c r="C40" s="9">
        <v>39</v>
      </c>
      <c r="D40" s="9">
        <v>2</v>
      </c>
      <c r="E40" s="9">
        <v>55</v>
      </c>
      <c r="F40" s="9">
        <v>0</v>
      </c>
      <c r="G40" s="9"/>
      <c r="H40" s="9">
        <v>0</v>
      </c>
      <c r="I40" s="9">
        <v>12</v>
      </c>
      <c r="J40" s="9">
        <v>0</v>
      </c>
      <c r="K40" s="9">
        <v>18</v>
      </c>
      <c r="L40" s="9">
        <v>8</v>
      </c>
      <c r="M40" s="9">
        <v>1</v>
      </c>
      <c r="N40" s="9"/>
      <c r="O40" s="9"/>
      <c r="P40" s="9">
        <v>82</v>
      </c>
      <c r="Q40" s="9">
        <v>2</v>
      </c>
      <c r="R40" s="9">
        <v>298</v>
      </c>
      <c r="S40" s="9">
        <v>9</v>
      </c>
      <c r="T40" s="9">
        <v>1</v>
      </c>
      <c r="U40" s="9"/>
      <c r="V40" s="9">
        <v>0</v>
      </c>
      <c r="W40" s="9">
        <v>22</v>
      </c>
      <c r="X40" s="9">
        <v>71</v>
      </c>
      <c r="Y40" s="9">
        <v>8</v>
      </c>
      <c r="Z40" s="9">
        <v>5</v>
      </c>
      <c r="AA40" s="9">
        <v>19</v>
      </c>
      <c r="AB40" s="9"/>
      <c r="AC40" s="9"/>
      <c r="AD40" s="9"/>
      <c r="AE40" s="9"/>
      <c r="AF40" s="9"/>
      <c r="AG40" s="9"/>
      <c r="AH40" s="7"/>
    </row>
    <row r="41" spans="2:34" x14ac:dyDescent="0.5">
      <c r="B41" s="16" t="s">
        <v>5</v>
      </c>
      <c r="C41" s="97">
        <f>SUM(C37-C38)</f>
        <v>2891</v>
      </c>
      <c r="D41" s="97">
        <f t="shared" ref="D41:AG41" si="4">SUM(D37-D38)</f>
        <v>1644</v>
      </c>
      <c r="E41" s="97">
        <f t="shared" si="4"/>
        <v>4937</v>
      </c>
      <c r="F41" s="97">
        <f t="shared" si="4"/>
        <v>1331</v>
      </c>
      <c r="G41" s="97">
        <f t="shared" si="4"/>
        <v>0</v>
      </c>
      <c r="H41" s="97">
        <f t="shared" si="4"/>
        <v>2168</v>
      </c>
      <c r="I41" s="97">
        <f t="shared" si="4"/>
        <v>2349</v>
      </c>
      <c r="J41" s="97">
        <f t="shared" si="4"/>
        <v>299</v>
      </c>
      <c r="K41" s="97">
        <f t="shared" si="4"/>
        <v>5765</v>
      </c>
      <c r="L41" s="97">
        <f t="shared" si="4"/>
        <v>201</v>
      </c>
      <c r="M41" s="97">
        <f t="shared" si="4"/>
        <v>632</v>
      </c>
      <c r="N41" s="97">
        <f t="shared" si="4"/>
        <v>0</v>
      </c>
      <c r="O41" s="97">
        <f t="shared" si="4"/>
        <v>210</v>
      </c>
      <c r="P41" s="97">
        <f t="shared" si="4"/>
        <v>329</v>
      </c>
      <c r="Q41" s="97">
        <f t="shared" si="4"/>
        <v>1597</v>
      </c>
      <c r="R41" s="97">
        <f t="shared" si="4"/>
        <v>4119</v>
      </c>
      <c r="S41" s="97">
        <f t="shared" si="4"/>
        <v>817</v>
      </c>
      <c r="T41" s="97">
        <f>SUM(T37-T38)</f>
        <v>2122</v>
      </c>
      <c r="U41" s="97">
        <f t="shared" si="4"/>
        <v>0</v>
      </c>
      <c r="V41" s="97">
        <f t="shared" si="4"/>
        <v>1204</v>
      </c>
      <c r="W41" s="97">
        <f t="shared" si="4"/>
        <v>9493</v>
      </c>
      <c r="X41" s="97">
        <f t="shared" si="4"/>
        <v>827</v>
      </c>
      <c r="Y41" s="97">
        <f t="shared" si="4"/>
        <v>686</v>
      </c>
      <c r="Z41" s="97">
        <f t="shared" si="4"/>
        <v>3272</v>
      </c>
      <c r="AA41" s="97">
        <f t="shared" si="4"/>
        <v>355</v>
      </c>
      <c r="AB41" s="97">
        <f t="shared" si="4"/>
        <v>0</v>
      </c>
      <c r="AC41" s="97">
        <f t="shared" si="4"/>
        <v>0</v>
      </c>
      <c r="AD41" s="97">
        <f t="shared" si="4"/>
        <v>0</v>
      </c>
      <c r="AE41" s="97">
        <f t="shared" si="4"/>
        <v>0</v>
      </c>
      <c r="AF41" s="97">
        <f t="shared" si="4"/>
        <v>0</v>
      </c>
      <c r="AG41" s="97">
        <f t="shared" si="4"/>
        <v>0</v>
      </c>
      <c r="AH41" s="13">
        <f>SUM(C41:AG41)</f>
        <v>47248</v>
      </c>
    </row>
    <row r="42" spans="2:34" x14ac:dyDescent="0.5">
      <c r="B42" s="16" t="s">
        <v>8</v>
      </c>
      <c r="C42" s="5">
        <v>687</v>
      </c>
      <c r="D42" s="5">
        <v>235</v>
      </c>
      <c r="E42" s="5">
        <v>67</v>
      </c>
      <c r="F42" s="5">
        <v>436</v>
      </c>
      <c r="G42" s="5"/>
      <c r="H42" s="5">
        <v>0</v>
      </c>
      <c r="I42" s="5">
        <v>2030</v>
      </c>
      <c r="J42" s="5">
        <v>84</v>
      </c>
      <c r="K42" s="5">
        <v>321</v>
      </c>
      <c r="L42" s="5"/>
      <c r="M42" s="5">
        <v>0</v>
      </c>
      <c r="N42" s="5"/>
      <c r="O42" s="5"/>
      <c r="P42" s="5">
        <v>134</v>
      </c>
      <c r="Q42" s="5">
        <v>906</v>
      </c>
      <c r="R42" s="5">
        <v>135</v>
      </c>
      <c r="S42" s="92">
        <v>0</v>
      </c>
      <c r="T42" s="5">
        <v>47</v>
      </c>
      <c r="U42" s="5"/>
      <c r="V42" s="5">
        <v>102</v>
      </c>
      <c r="W42" s="5">
        <v>0</v>
      </c>
      <c r="X42" s="5">
        <v>323</v>
      </c>
      <c r="Y42" s="92">
        <v>171</v>
      </c>
      <c r="Z42" s="5">
        <v>658</v>
      </c>
      <c r="AA42" s="5">
        <v>142</v>
      </c>
      <c r="AB42" s="5"/>
      <c r="AC42" s="92"/>
      <c r="AD42" s="5"/>
      <c r="AE42" s="5"/>
      <c r="AF42" s="5"/>
      <c r="AG42" s="5"/>
      <c r="AH42" s="12"/>
    </row>
    <row r="43" spans="2:34" ht="18" customHeight="1" thickBot="1" x14ac:dyDescent="0.55000000000000004">
      <c r="B43" s="47" t="s">
        <v>7</v>
      </c>
      <c r="C43" s="48">
        <v>68</v>
      </c>
      <c r="D43" s="48">
        <v>19</v>
      </c>
      <c r="E43" s="48">
        <v>1</v>
      </c>
      <c r="F43" s="48">
        <v>31</v>
      </c>
      <c r="G43" s="48"/>
      <c r="H43" s="48">
        <v>59</v>
      </c>
      <c r="I43" s="48">
        <v>38</v>
      </c>
      <c r="J43" s="48">
        <v>8</v>
      </c>
      <c r="K43" s="48">
        <v>148</v>
      </c>
      <c r="L43" s="48">
        <v>2</v>
      </c>
      <c r="M43" s="48">
        <v>3</v>
      </c>
      <c r="N43" s="48"/>
      <c r="O43" s="48">
        <v>6</v>
      </c>
      <c r="P43" s="48">
        <v>6</v>
      </c>
      <c r="Q43" s="48">
        <v>36</v>
      </c>
      <c r="R43" s="48">
        <v>7</v>
      </c>
      <c r="S43" s="93">
        <v>15</v>
      </c>
      <c r="T43" s="48">
        <v>806</v>
      </c>
      <c r="U43" s="48"/>
      <c r="V43" s="48">
        <v>4</v>
      </c>
      <c r="W43" s="48">
        <v>154</v>
      </c>
      <c r="X43" s="48">
        <v>20</v>
      </c>
      <c r="Y43" s="48">
        <v>11</v>
      </c>
      <c r="Z43" s="48">
        <v>54</v>
      </c>
      <c r="AA43" s="48">
        <v>2</v>
      </c>
      <c r="AB43" s="93"/>
      <c r="AC43" s="48"/>
      <c r="AD43" s="48"/>
      <c r="AE43" s="48"/>
      <c r="AF43" s="48"/>
      <c r="AG43" s="48"/>
      <c r="AH43" s="96"/>
    </row>
    <row r="44" spans="2:34" ht="21.75" thickBot="1" x14ac:dyDescent="0.55000000000000004">
      <c r="B44" s="65" t="s">
        <v>9</v>
      </c>
      <c r="C44" s="49">
        <v>321</v>
      </c>
      <c r="D44" s="49">
        <v>158</v>
      </c>
      <c r="E44" s="49">
        <v>14600</v>
      </c>
      <c r="F44" s="49">
        <v>300</v>
      </c>
      <c r="G44" s="49"/>
      <c r="H44" s="49">
        <v>0</v>
      </c>
      <c r="I44" s="49"/>
      <c r="J44" s="49"/>
      <c r="K44" s="49"/>
      <c r="L44" s="49">
        <v>320</v>
      </c>
      <c r="M44" s="49">
        <v>1400</v>
      </c>
      <c r="N44" s="49"/>
      <c r="O44" s="49"/>
      <c r="P44" s="49"/>
      <c r="Q44" s="49"/>
      <c r="R44" s="49"/>
      <c r="S44" s="49">
        <v>456</v>
      </c>
      <c r="T44" s="108"/>
      <c r="U44" s="49"/>
      <c r="V44" s="49">
        <v>966</v>
      </c>
      <c r="W44" s="108">
        <v>300</v>
      </c>
      <c r="X44" s="49">
        <v>0</v>
      </c>
      <c r="Y44" s="49">
        <v>100</v>
      </c>
      <c r="Z44" s="49">
        <v>100</v>
      </c>
      <c r="AA44" s="49"/>
      <c r="AB44" s="49"/>
      <c r="AC44" s="49"/>
      <c r="AD44" s="49"/>
      <c r="AE44" s="49"/>
      <c r="AF44" s="49"/>
      <c r="AG44" s="49"/>
      <c r="AH44" s="50"/>
    </row>
    <row r="45" spans="2:34" ht="21.75" thickBot="1" x14ac:dyDescent="0.55000000000000004">
      <c r="B45" s="66" t="s">
        <v>14</v>
      </c>
      <c r="C45" s="51">
        <f>C39+C42+C44</f>
        <v>1550</v>
      </c>
      <c r="D45" s="51">
        <f>D39+D42+D44</f>
        <v>416</v>
      </c>
      <c r="E45" s="51">
        <f>E39+E42+E44</f>
        <v>14902</v>
      </c>
      <c r="F45" s="51">
        <f>F39+F42+F44</f>
        <v>736</v>
      </c>
      <c r="G45" s="51">
        <f t="shared" ref="G45:AG45" si="5">G39+G42+G44</f>
        <v>0</v>
      </c>
      <c r="H45" s="51">
        <f t="shared" si="5"/>
        <v>0</v>
      </c>
      <c r="I45" s="51">
        <f t="shared" si="5"/>
        <v>2121</v>
      </c>
      <c r="J45" s="51">
        <f t="shared" si="5"/>
        <v>84</v>
      </c>
      <c r="K45" s="51">
        <f t="shared" si="5"/>
        <v>924</v>
      </c>
      <c r="L45" s="51">
        <f t="shared" si="5"/>
        <v>436</v>
      </c>
      <c r="M45" s="51">
        <f t="shared" si="5"/>
        <v>1423</v>
      </c>
      <c r="N45" s="51">
        <f t="shared" si="5"/>
        <v>0</v>
      </c>
      <c r="O45" s="51">
        <f t="shared" si="5"/>
        <v>0</v>
      </c>
      <c r="P45" s="51">
        <f t="shared" si="5"/>
        <v>1195</v>
      </c>
      <c r="Q45" s="51">
        <f t="shared" si="5"/>
        <v>921</v>
      </c>
      <c r="R45" s="51">
        <f t="shared" si="5"/>
        <v>183</v>
      </c>
      <c r="S45" s="51">
        <f t="shared" si="5"/>
        <v>574</v>
      </c>
      <c r="T45" s="51">
        <f t="shared" si="5"/>
        <v>71</v>
      </c>
      <c r="U45" s="51">
        <f t="shared" si="5"/>
        <v>0</v>
      </c>
      <c r="V45" s="51">
        <f t="shared" si="5"/>
        <v>1068</v>
      </c>
      <c r="W45" s="51">
        <f t="shared" si="5"/>
        <v>500</v>
      </c>
      <c r="X45" s="51">
        <f t="shared" si="5"/>
        <v>323</v>
      </c>
      <c r="Y45" s="51">
        <f t="shared" si="5"/>
        <v>337</v>
      </c>
      <c r="Z45" s="51">
        <f t="shared" si="5"/>
        <v>858</v>
      </c>
      <c r="AA45" s="51">
        <f t="shared" si="5"/>
        <v>494</v>
      </c>
      <c r="AB45" s="51">
        <f t="shared" si="5"/>
        <v>0</v>
      </c>
      <c r="AC45" s="51">
        <f t="shared" si="5"/>
        <v>0</v>
      </c>
      <c r="AD45" s="51">
        <f t="shared" si="5"/>
        <v>0</v>
      </c>
      <c r="AE45" s="51">
        <f t="shared" si="5"/>
        <v>0</v>
      </c>
      <c r="AF45" s="51">
        <f t="shared" si="5"/>
        <v>0</v>
      </c>
      <c r="AG45" s="51">
        <f t="shared" si="5"/>
        <v>0</v>
      </c>
      <c r="AH45" s="52"/>
    </row>
    <row r="46" spans="2:34" ht="21.75" thickBot="1" x14ac:dyDescent="0.55000000000000004">
      <c r="B46" s="67" t="s">
        <v>6</v>
      </c>
      <c r="C46" s="112">
        <f>32010-C37</f>
        <v>26729</v>
      </c>
      <c r="D46" s="112">
        <f>C46-D37</f>
        <v>25000</v>
      </c>
      <c r="E46" s="112">
        <f>D46-E37</f>
        <v>18280</v>
      </c>
      <c r="F46" s="112">
        <f>E46-F37</f>
        <v>16949</v>
      </c>
      <c r="G46" s="112">
        <f>F46-G37</f>
        <v>16949</v>
      </c>
      <c r="H46" s="112">
        <f>F46-H37</f>
        <v>14781</v>
      </c>
      <c r="I46" s="112">
        <f t="shared" ref="I46:N46" si="6">H46-I37</f>
        <v>11977</v>
      </c>
      <c r="J46" s="112">
        <f t="shared" si="6"/>
        <v>11678</v>
      </c>
      <c r="K46" s="112">
        <f t="shared" si="6"/>
        <v>5141</v>
      </c>
      <c r="L46" s="112">
        <f t="shared" si="6"/>
        <v>4577</v>
      </c>
      <c r="M46" s="112">
        <v>3880</v>
      </c>
      <c r="N46" s="112">
        <f t="shared" si="6"/>
        <v>3880</v>
      </c>
      <c r="O46" s="112">
        <f>N46-O37</f>
        <v>3670</v>
      </c>
      <c r="P46" s="112">
        <v>29279</v>
      </c>
      <c r="Q46" s="112">
        <f>P46-Q37</f>
        <v>27568</v>
      </c>
      <c r="R46" s="112">
        <f>Q46-R37</f>
        <v>7770</v>
      </c>
      <c r="S46" s="112">
        <f>R46-S37</f>
        <v>6351</v>
      </c>
      <c r="T46" s="112">
        <f>S46-T37</f>
        <v>4147</v>
      </c>
      <c r="U46" s="53"/>
      <c r="V46" s="79">
        <f>T46-V37</f>
        <v>2943</v>
      </c>
      <c r="W46" s="77">
        <f>32943-W37</f>
        <v>22403</v>
      </c>
      <c r="X46" s="77">
        <f>W46-X37</f>
        <v>17893</v>
      </c>
      <c r="Y46" s="77">
        <f>X46-Y37</f>
        <v>16813</v>
      </c>
      <c r="Z46" s="77">
        <f>Y46-Z37</f>
        <v>13283</v>
      </c>
      <c r="AA46" s="77">
        <f>Z46-AA37</f>
        <v>11898</v>
      </c>
      <c r="AB46" s="77">
        <f>31001-AB37</f>
        <v>31001</v>
      </c>
      <c r="AC46" s="77"/>
      <c r="AD46" s="77">
        <f>AB46-AD37</f>
        <v>31001</v>
      </c>
      <c r="AE46" s="77">
        <f>AD46-AE37</f>
        <v>31001</v>
      </c>
      <c r="AF46" s="77">
        <f>AE46-AF37</f>
        <v>31001</v>
      </c>
      <c r="AG46" s="77">
        <f>AF46-AG37</f>
        <v>31001</v>
      </c>
      <c r="AH46" s="54"/>
    </row>
    <row r="47" spans="2:34" ht="21.75" thickBot="1" x14ac:dyDescent="0.55000000000000004">
      <c r="B47" s="23" t="s">
        <v>31</v>
      </c>
      <c r="C47" s="55">
        <f t="shared" ref="C47:AG47" si="7">(C38+C81+C82+C83)-C37</f>
        <v>1835</v>
      </c>
      <c r="D47" s="55">
        <f t="shared" si="7"/>
        <v>757</v>
      </c>
      <c r="E47" s="55">
        <f t="shared" si="7"/>
        <v>1491</v>
      </c>
      <c r="F47" s="55">
        <f t="shared" si="7"/>
        <v>410</v>
      </c>
      <c r="G47" s="55">
        <f t="shared" si="7"/>
        <v>0</v>
      </c>
      <c r="H47" s="55">
        <f t="shared" si="7"/>
        <v>856</v>
      </c>
      <c r="I47" s="55">
        <f t="shared" si="7"/>
        <v>1458</v>
      </c>
      <c r="J47" s="55">
        <f t="shared" si="7"/>
        <v>180</v>
      </c>
      <c r="K47" s="55">
        <f t="shared" si="7"/>
        <v>1835</v>
      </c>
      <c r="L47" s="55">
        <f t="shared" si="7"/>
        <v>52</v>
      </c>
      <c r="M47" s="55">
        <f t="shared" si="7"/>
        <v>133</v>
      </c>
      <c r="N47" s="55">
        <f t="shared" si="7"/>
        <v>0</v>
      </c>
      <c r="O47" s="55">
        <f t="shared" si="7"/>
        <v>46</v>
      </c>
      <c r="P47" s="55">
        <f t="shared" si="7"/>
        <v>101</v>
      </c>
      <c r="Q47" s="55">
        <f t="shared" si="7"/>
        <v>1457</v>
      </c>
      <c r="R47" s="55">
        <f t="shared" si="7"/>
        <v>342</v>
      </c>
      <c r="S47" s="55">
        <f t="shared" si="7"/>
        <v>180</v>
      </c>
      <c r="T47" s="55">
        <f t="shared" si="7"/>
        <v>1257</v>
      </c>
      <c r="U47" s="55">
        <f t="shared" si="7"/>
        <v>0</v>
      </c>
      <c r="V47" s="55">
        <f t="shared" si="7"/>
        <v>343</v>
      </c>
      <c r="W47" s="55">
        <f t="shared" si="7"/>
        <v>2688</v>
      </c>
      <c r="X47" s="55">
        <f t="shared" si="7"/>
        <v>495</v>
      </c>
      <c r="Y47" s="55">
        <f t="shared" si="7"/>
        <v>285</v>
      </c>
      <c r="Z47" s="55">
        <f t="shared" si="7"/>
        <v>2390</v>
      </c>
      <c r="AA47" s="55">
        <f t="shared" si="7"/>
        <v>65</v>
      </c>
      <c r="AB47" s="55">
        <f t="shared" si="7"/>
        <v>0</v>
      </c>
      <c r="AC47" s="55">
        <f t="shared" si="7"/>
        <v>0</v>
      </c>
      <c r="AD47" s="55">
        <f t="shared" si="7"/>
        <v>0</v>
      </c>
      <c r="AE47" s="55">
        <f t="shared" si="7"/>
        <v>0</v>
      </c>
      <c r="AF47" s="55">
        <f t="shared" si="7"/>
        <v>0</v>
      </c>
      <c r="AG47" s="55">
        <f t="shared" si="7"/>
        <v>0</v>
      </c>
      <c r="AH47" s="56">
        <f>SUM(C47:AG47)</f>
        <v>18656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2" t="s">
        <v>17</v>
      </c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/>
      <c r="X56" s="2"/>
      <c r="Y56" s="2"/>
      <c r="Z56" s="89"/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118"/>
    </row>
    <row r="60" spans="2:34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/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63976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2806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18656</v>
      </c>
    </row>
    <row r="74" spans="2:34" ht="24" customHeight="1" x14ac:dyDescent="0.5">
      <c r="B74" s="19" t="s">
        <v>3</v>
      </c>
      <c r="C74" s="21">
        <f>SUM(C38:AG38)</f>
        <v>32634</v>
      </c>
    </row>
    <row r="75" spans="2:34" ht="24" customHeight="1" x14ac:dyDescent="0.5">
      <c r="B75" s="19" t="s">
        <v>4</v>
      </c>
      <c r="C75" s="21">
        <f>SUM(C37:AG37)</f>
        <v>79882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89"/>
      <c r="D81" s="2">
        <v>97</v>
      </c>
      <c r="E81" s="2">
        <v>125</v>
      </c>
      <c r="F81" s="2">
        <v>208</v>
      </c>
      <c r="G81" s="2"/>
      <c r="H81" s="89">
        <v>1684</v>
      </c>
      <c r="I81" s="2"/>
      <c r="J81" s="2"/>
      <c r="K81" s="2"/>
      <c r="L81" s="2"/>
      <c r="M81" s="2">
        <v>49</v>
      </c>
      <c r="N81" s="2"/>
      <c r="O81" s="2"/>
      <c r="P81" s="2">
        <v>180</v>
      </c>
      <c r="Q81" s="89">
        <v>1834</v>
      </c>
      <c r="R81" s="2"/>
      <c r="S81" s="2">
        <v>57</v>
      </c>
      <c r="T81" s="2">
        <v>50</v>
      </c>
      <c r="U81" s="2"/>
      <c r="V81" s="2">
        <v>174</v>
      </c>
      <c r="W81" s="81"/>
      <c r="X81" s="2">
        <v>572</v>
      </c>
      <c r="Y81" s="89">
        <v>91</v>
      </c>
      <c r="Z81" s="89">
        <v>1186</v>
      </c>
      <c r="AA81" s="2">
        <v>102</v>
      </c>
      <c r="AB81" s="2"/>
      <c r="AC81" s="2"/>
      <c r="AD81" s="2"/>
      <c r="AE81" s="2"/>
      <c r="AF81" s="2"/>
      <c r="AG81" s="2"/>
    </row>
    <row r="82" spans="2:33" x14ac:dyDescent="0.5">
      <c r="B82" s="19" t="s">
        <v>35</v>
      </c>
      <c r="C82" s="2"/>
      <c r="D82" s="2">
        <v>630</v>
      </c>
      <c r="E82" s="2"/>
      <c r="F82" s="2"/>
      <c r="G82" s="2"/>
      <c r="H82" s="2">
        <v>108</v>
      </c>
      <c r="I82" s="2"/>
      <c r="J82" s="2"/>
      <c r="K82" s="2">
        <v>421</v>
      </c>
      <c r="L82" s="2">
        <v>85</v>
      </c>
      <c r="M82" s="89"/>
      <c r="N82" s="2"/>
      <c r="O82" s="2"/>
      <c r="P82" s="2"/>
      <c r="Q82" s="89"/>
      <c r="R82" s="2"/>
      <c r="S82" s="89"/>
      <c r="T82" s="2"/>
      <c r="U82" s="2"/>
      <c r="V82" s="2">
        <v>168</v>
      </c>
      <c r="W82" s="2"/>
      <c r="X82" s="2">
        <v>120</v>
      </c>
      <c r="Y82" s="89">
        <v>280</v>
      </c>
      <c r="Z82" s="2"/>
      <c r="AA82" s="2"/>
      <c r="AB82" s="89"/>
      <c r="AC82" s="2"/>
      <c r="AD82" s="2"/>
      <c r="AE82" s="2"/>
      <c r="AF82" s="89"/>
      <c r="AG82" s="2"/>
    </row>
    <row r="83" spans="2:33" x14ac:dyDescent="0.5">
      <c r="B83" s="90" t="s">
        <v>41</v>
      </c>
      <c r="C83" s="94">
        <v>4726</v>
      </c>
      <c r="D83" s="94">
        <v>1674</v>
      </c>
      <c r="E83" s="94">
        <v>6303</v>
      </c>
      <c r="F83" s="91">
        <v>1533</v>
      </c>
      <c r="G83" s="91"/>
      <c r="H83" s="94">
        <v>1232</v>
      </c>
      <c r="I83" s="94">
        <v>3807</v>
      </c>
      <c r="J83" s="91">
        <v>479</v>
      </c>
      <c r="K83" s="94">
        <v>7179</v>
      </c>
      <c r="L83" s="91">
        <v>168</v>
      </c>
      <c r="M83" s="91">
        <v>716</v>
      </c>
      <c r="N83" s="91"/>
      <c r="O83" s="91">
        <v>256</v>
      </c>
      <c r="P83" s="91">
        <v>250</v>
      </c>
      <c r="Q83" s="94">
        <v>1220</v>
      </c>
      <c r="R83" s="94">
        <v>4461</v>
      </c>
      <c r="S83" s="94">
        <v>940</v>
      </c>
      <c r="T83" s="94">
        <v>3329</v>
      </c>
      <c r="U83" s="91"/>
      <c r="V83" s="94">
        <v>1205</v>
      </c>
      <c r="W83" s="94">
        <v>12181</v>
      </c>
      <c r="X83" s="91">
        <v>630</v>
      </c>
      <c r="Y83" s="94">
        <v>600</v>
      </c>
      <c r="Z83" s="94">
        <v>4476</v>
      </c>
      <c r="AA83" s="94">
        <v>318</v>
      </c>
      <c r="AB83" s="94"/>
      <c r="AC83" s="94"/>
      <c r="AD83" s="94"/>
      <c r="AE83" s="94"/>
      <c r="AF83" s="94"/>
      <c r="AG83" s="91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AH83"/>
  <sheetViews>
    <sheetView topLeftCell="A2" zoomScale="106" zoomScaleNormal="106" workbookViewId="0">
      <pane xSplit="2" ySplit="3" topLeftCell="AD11" activePane="bottomRight" state="frozen"/>
      <selection activeCell="A2" sqref="A2"/>
      <selection pane="topRight" activeCell="C2" sqref="C2"/>
      <selection pane="bottomLeft" activeCell="A5" sqref="A5"/>
      <selection pane="bottomRight" activeCell="AF25" sqref="AF25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45658</v>
      </c>
      <c r="D4" s="27">
        <v>45659</v>
      </c>
      <c r="E4" s="27">
        <v>45660</v>
      </c>
      <c r="F4" s="27">
        <v>45661</v>
      </c>
      <c r="G4" s="27">
        <v>45662</v>
      </c>
      <c r="H4" s="27">
        <v>45663</v>
      </c>
      <c r="I4" s="27">
        <v>45664</v>
      </c>
      <c r="J4" s="27">
        <v>45665</v>
      </c>
      <c r="K4" s="27">
        <v>45666</v>
      </c>
      <c r="L4" s="27">
        <v>45667</v>
      </c>
      <c r="M4" s="27">
        <v>45668</v>
      </c>
      <c r="N4" s="27">
        <v>45669</v>
      </c>
      <c r="O4" s="27">
        <v>45670</v>
      </c>
      <c r="P4" s="27">
        <v>45671</v>
      </c>
      <c r="Q4" s="27">
        <v>45672</v>
      </c>
      <c r="R4" s="27">
        <v>45673</v>
      </c>
      <c r="S4" s="27">
        <v>45674</v>
      </c>
      <c r="T4" s="27">
        <v>45675</v>
      </c>
      <c r="U4" s="27">
        <v>45676</v>
      </c>
      <c r="V4" s="27">
        <v>45677</v>
      </c>
      <c r="W4" s="27">
        <v>45678</v>
      </c>
      <c r="X4" s="27">
        <v>45679</v>
      </c>
      <c r="Y4" s="27">
        <v>45680</v>
      </c>
      <c r="Z4" s="27">
        <v>45681</v>
      </c>
      <c r="AA4" s="27">
        <v>45682</v>
      </c>
      <c r="AB4" s="27">
        <v>45683</v>
      </c>
      <c r="AC4" s="27">
        <v>45684</v>
      </c>
      <c r="AD4" s="27">
        <v>45685</v>
      </c>
      <c r="AE4" s="27">
        <v>45686</v>
      </c>
      <c r="AF4" s="27">
        <v>45687</v>
      </c>
      <c r="AG4" s="27">
        <v>45688</v>
      </c>
      <c r="AH4" s="26" t="s">
        <v>12</v>
      </c>
    </row>
    <row r="5" spans="1:34" ht="21.75" thickBot="1" x14ac:dyDescent="0.55000000000000004">
      <c r="B5" s="58" t="s">
        <v>0</v>
      </c>
      <c r="C5" s="28">
        <f>C15</f>
        <v>1743</v>
      </c>
      <c r="D5" s="28">
        <f t="shared" ref="D5:AG5" si="0">D15</f>
        <v>667</v>
      </c>
      <c r="E5" s="28">
        <f t="shared" si="0"/>
        <v>0</v>
      </c>
      <c r="F5" s="28">
        <f t="shared" si="0"/>
        <v>3723</v>
      </c>
      <c r="G5" s="28">
        <f t="shared" si="0"/>
        <v>8403</v>
      </c>
      <c r="H5" s="28">
        <f t="shared" si="0"/>
        <v>5699</v>
      </c>
      <c r="I5" s="28">
        <f t="shared" si="0"/>
        <v>812</v>
      </c>
      <c r="J5" s="28">
        <f t="shared" si="0"/>
        <v>3268</v>
      </c>
      <c r="K5" s="28">
        <f t="shared" si="0"/>
        <v>6098</v>
      </c>
      <c r="L5" s="28">
        <f t="shared" si="0"/>
        <v>580</v>
      </c>
      <c r="M5" s="28">
        <f t="shared" si="0"/>
        <v>0</v>
      </c>
      <c r="N5" s="28">
        <f t="shared" si="0"/>
        <v>1500</v>
      </c>
      <c r="O5" s="28">
        <f t="shared" si="0"/>
        <v>6815</v>
      </c>
      <c r="P5" s="28">
        <f t="shared" si="0"/>
        <v>4575</v>
      </c>
      <c r="Q5" s="28">
        <f t="shared" si="0"/>
        <v>2190</v>
      </c>
      <c r="R5" s="28">
        <f t="shared" si="0"/>
        <v>967</v>
      </c>
      <c r="S5" s="28">
        <f t="shared" si="0"/>
        <v>0</v>
      </c>
      <c r="T5" s="28">
        <f t="shared" si="0"/>
        <v>4867</v>
      </c>
      <c r="U5" s="28">
        <f t="shared" si="0"/>
        <v>2746</v>
      </c>
      <c r="V5" s="28">
        <f t="shared" si="0"/>
        <v>1130</v>
      </c>
      <c r="W5" s="28">
        <f t="shared" si="0"/>
        <v>328</v>
      </c>
      <c r="X5" s="28">
        <f t="shared" si="0"/>
        <v>8679</v>
      </c>
      <c r="Y5" s="28">
        <f t="shared" si="0"/>
        <v>985</v>
      </c>
      <c r="Z5" s="28">
        <f t="shared" si="0"/>
        <v>0</v>
      </c>
      <c r="AA5" s="28">
        <f t="shared" si="0"/>
        <v>615</v>
      </c>
      <c r="AB5" s="28">
        <f t="shared" si="0"/>
        <v>3666</v>
      </c>
      <c r="AC5" s="28">
        <f t="shared" si="0"/>
        <v>5817</v>
      </c>
      <c r="AD5" s="28">
        <f t="shared" si="0"/>
        <v>645</v>
      </c>
      <c r="AE5" s="28">
        <f t="shared" si="0"/>
        <v>1021</v>
      </c>
      <c r="AF5" s="28">
        <f t="shared" si="0"/>
        <v>2347</v>
      </c>
      <c r="AG5" s="28">
        <f t="shared" si="0"/>
        <v>0</v>
      </c>
      <c r="AH5" s="29">
        <f>SUM(C5:AG5)</f>
        <v>79886</v>
      </c>
    </row>
    <row r="6" spans="1:34" x14ac:dyDescent="0.5">
      <c r="B6" s="122"/>
      <c r="C6" s="83" t="s">
        <v>52</v>
      </c>
      <c r="D6" s="83" t="s">
        <v>57</v>
      </c>
      <c r="E6" s="83"/>
      <c r="F6" s="83" t="s">
        <v>60</v>
      </c>
      <c r="G6" s="83" t="s">
        <v>65</v>
      </c>
      <c r="H6" s="83" t="s">
        <v>70</v>
      </c>
      <c r="I6" s="83" t="s">
        <v>78</v>
      </c>
      <c r="J6" s="83" t="s">
        <v>81</v>
      </c>
      <c r="K6" s="83" t="s">
        <v>89</v>
      </c>
      <c r="L6" s="83" t="s">
        <v>90</v>
      </c>
      <c r="M6" s="83"/>
      <c r="N6" s="83" t="s">
        <v>92</v>
      </c>
      <c r="O6" s="83" t="s">
        <v>96</v>
      </c>
      <c r="P6" s="83" t="s">
        <v>104</v>
      </c>
      <c r="Q6" s="83" t="s">
        <v>109</v>
      </c>
      <c r="R6" s="83" t="s">
        <v>114</v>
      </c>
      <c r="S6" s="83"/>
      <c r="T6" s="83" t="s">
        <v>117</v>
      </c>
      <c r="U6" s="83" t="s">
        <v>121</v>
      </c>
      <c r="V6" s="83" t="s">
        <v>126</v>
      </c>
      <c r="W6" s="83" t="s">
        <v>129</v>
      </c>
      <c r="X6" s="83" t="s">
        <v>132</v>
      </c>
      <c r="Y6" s="83" t="s">
        <v>136</v>
      </c>
      <c r="Z6" s="83"/>
      <c r="AA6" s="83" t="s">
        <v>137</v>
      </c>
      <c r="AB6" s="83" t="s">
        <v>140</v>
      </c>
      <c r="AC6" s="83" t="s">
        <v>142</v>
      </c>
      <c r="AD6" s="83" t="s">
        <v>147</v>
      </c>
      <c r="AE6" s="83" t="s">
        <v>149</v>
      </c>
      <c r="AF6" s="83" t="s">
        <v>150</v>
      </c>
      <c r="AG6" s="83"/>
      <c r="AH6" s="123"/>
    </row>
    <row r="7" spans="1:34" x14ac:dyDescent="0.5">
      <c r="B7" s="122"/>
      <c r="C7" s="84" t="s">
        <v>53</v>
      </c>
      <c r="D7" s="84" t="s">
        <v>58</v>
      </c>
      <c r="E7" s="84"/>
      <c r="F7" s="84" t="s">
        <v>61</v>
      </c>
      <c r="G7" s="84" t="s">
        <v>66</v>
      </c>
      <c r="H7" s="84" t="s">
        <v>71</v>
      </c>
      <c r="I7" s="84" t="s">
        <v>79</v>
      </c>
      <c r="J7" s="84" t="s">
        <v>82</v>
      </c>
      <c r="K7" s="84" t="s">
        <v>85</v>
      </c>
      <c r="L7" s="84" t="s">
        <v>91</v>
      </c>
      <c r="M7" s="84"/>
      <c r="N7" s="84" t="s">
        <v>93</v>
      </c>
      <c r="O7" s="84" t="s">
        <v>97</v>
      </c>
      <c r="P7" s="84" t="s">
        <v>105</v>
      </c>
      <c r="Q7" s="84" t="s">
        <v>110</v>
      </c>
      <c r="R7" s="84" t="s">
        <v>115</v>
      </c>
      <c r="S7" s="84"/>
      <c r="T7" s="84" t="s">
        <v>118</v>
      </c>
      <c r="U7" s="84" t="s">
        <v>122</v>
      </c>
      <c r="V7" s="84" t="s">
        <v>127</v>
      </c>
      <c r="W7" s="84" t="s">
        <v>130</v>
      </c>
      <c r="X7" s="84" t="s">
        <v>133</v>
      </c>
      <c r="Y7" s="84"/>
      <c r="Z7" s="84"/>
      <c r="AA7" s="84" t="s">
        <v>138</v>
      </c>
      <c r="AB7" s="84" t="s">
        <v>139</v>
      </c>
      <c r="AC7" s="84" t="s">
        <v>143</v>
      </c>
      <c r="AD7" s="84" t="s">
        <v>148</v>
      </c>
      <c r="AE7" s="84"/>
      <c r="AF7" s="84" t="s">
        <v>151</v>
      </c>
      <c r="AG7" s="84"/>
      <c r="AH7" s="123"/>
    </row>
    <row r="8" spans="1:34" x14ac:dyDescent="0.5">
      <c r="B8" s="122"/>
      <c r="C8" s="84" t="s">
        <v>54</v>
      </c>
      <c r="D8" s="84" t="s">
        <v>59</v>
      </c>
      <c r="E8" s="84"/>
      <c r="F8" s="84" t="s">
        <v>62</v>
      </c>
      <c r="G8" s="84" t="s">
        <v>67</v>
      </c>
      <c r="H8" s="84" t="s">
        <v>72</v>
      </c>
      <c r="I8" s="84" t="s">
        <v>80</v>
      </c>
      <c r="J8" s="84" t="s">
        <v>83</v>
      </c>
      <c r="K8" s="84" t="s">
        <v>86</v>
      </c>
      <c r="L8" s="84"/>
      <c r="M8" s="84"/>
      <c r="N8" s="84" t="s">
        <v>94</v>
      </c>
      <c r="O8" s="84" t="s">
        <v>98</v>
      </c>
      <c r="P8" s="84" t="s">
        <v>106</v>
      </c>
      <c r="Q8" s="84" t="s">
        <v>111</v>
      </c>
      <c r="R8" s="84" t="s">
        <v>116</v>
      </c>
      <c r="S8" s="84"/>
      <c r="T8" s="84" t="s">
        <v>119</v>
      </c>
      <c r="U8" s="84" t="s">
        <v>123</v>
      </c>
      <c r="V8" s="84" t="s">
        <v>128</v>
      </c>
      <c r="W8" s="84" t="s">
        <v>131</v>
      </c>
      <c r="X8" s="84" t="s">
        <v>134</v>
      </c>
      <c r="Y8" s="84"/>
      <c r="Z8" s="84"/>
      <c r="AA8" s="84"/>
      <c r="AB8" s="84" t="s">
        <v>141</v>
      </c>
      <c r="AC8" s="84" t="s">
        <v>144</v>
      </c>
      <c r="AD8" s="84"/>
      <c r="AE8" s="84"/>
      <c r="AF8" s="84" t="s">
        <v>152</v>
      </c>
      <c r="AG8" s="84"/>
      <c r="AH8" s="123"/>
    </row>
    <row r="9" spans="1:34" x14ac:dyDescent="0.5">
      <c r="B9" s="122"/>
      <c r="C9" s="84" t="s">
        <v>55</v>
      </c>
      <c r="D9" s="84"/>
      <c r="E9" s="84"/>
      <c r="F9" s="84" t="s">
        <v>63</v>
      </c>
      <c r="G9" s="84" t="s">
        <v>68</v>
      </c>
      <c r="H9" s="84" t="s">
        <v>73</v>
      </c>
      <c r="I9" s="84"/>
      <c r="J9" s="84" t="s">
        <v>84</v>
      </c>
      <c r="K9" s="84" t="s">
        <v>87</v>
      </c>
      <c r="L9" s="84"/>
      <c r="M9" s="84"/>
      <c r="N9" s="84" t="s">
        <v>95</v>
      </c>
      <c r="O9" s="84" t="s">
        <v>99</v>
      </c>
      <c r="P9" s="84" t="s">
        <v>107</v>
      </c>
      <c r="Q9" s="84" t="s">
        <v>112</v>
      </c>
      <c r="R9" s="84"/>
      <c r="S9" s="84"/>
      <c r="T9" s="84" t="s">
        <v>120</v>
      </c>
      <c r="U9" s="84" t="s">
        <v>124</v>
      </c>
      <c r="V9" s="84"/>
      <c r="W9" s="84"/>
      <c r="X9" s="84" t="s">
        <v>135</v>
      </c>
      <c r="Y9" s="84"/>
      <c r="Z9" s="84"/>
      <c r="AA9" s="84"/>
      <c r="AB9" s="84"/>
      <c r="AC9" s="84" t="s">
        <v>145</v>
      </c>
      <c r="AD9" s="84"/>
      <c r="AE9" s="84"/>
      <c r="AF9" s="84" t="s">
        <v>153</v>
      </c>
      <c r="AG9" s="84"/>
      <c r="AH9" s="123"/>
    </row>
    <row r="10" spans="1:34" x14ac:dyDescent="0.5">
      <c r="B10" s="122"/>
      <c r="C10" s="84" t="s">
        <v>56</v>
      </c>
      <c r="D10" s="84"/>
      <c r="E10" s="84"/>
      <c r="F10" s="84" t="s">
        <v>64</v>
      </c>
      <c r="G10" s="84" t="s">
        <v>69</v>
      </c>
      <c r="H10" s="84" t="s">
        <v>74</v>
      </c>
      <c r="I10" s="84"/>
      <c r="J10" s="84"/>
      <c r="K10" s="84" t="s">
        <v>88</v>
      </c>
      <c r="L10" s="84"/>
      <c r="M10" s="84"/>
      <c r="N10" s="84"/>
      <c r="O10" s="84" t="s">
        <v>100</v>
      </c>
      <c r="P10" s="84" t="s">
        <v>108</v>
      </c>
      <c r="Q10" s="84" t="s">
        <v>113</v>
      </c>
      <c r="R10" s="84"/>
      <c r="S10" s="84"/>
      <c r="T10" s="84"/>
      <c r="U10" s="84" t="s">
        <v>125</v>
      </c>
      <c r="V10" s="84"/>
      <c r="W10" s="84"/>
      <c r="X10" s="84"/>
      <c r="Y10" s="84"/>
      <c r="Z10" s="84"/>
      <c r="AA10" s="84"/>
      <c r="AB10" s="84"/>
      <c r="AC10" s="84" t="s">
        <v>146</v>
      </c>
      <c r="AD10" s="84"/>
      <c r="AE10" s="84"/>
      <c r="AF10" s="84"/>
      <c r="AG10" s="84"/>
      <c r="AH10" s="123"/>
    </row>
    <row r="11" spans="1:34" x14ac:dyDescent="0.5">
      <c r="B11" s="122"/>
      <c r="C11" s="84"/>
      <c r="D11" s="84"/>
      <c r="E11" s="84"/>
      <c r="F11" s="84"/>
      <c r="G11" s="84"/>
      <c r="H11" s="84" t="s">
        <v>75</v>
      </c>
      <c r="I11" s="84"/>
      <c r="J11" s="84"/>
      <c r="K11" s="84"/>
      <c r="L11" s="84"/>
      <c r="M11" s="84"/>
      <c r="N11" s="84"/>
      <c r="O11" s="84" t="s">
        <v>101</v>
      </c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 t="s">
        <v>76</v>
      </c>
      <c r="I12" s="84"/>
      <c r="J12" s="84"/>
      <c r="K12" s="84"/>
      <c r="L12" s="84"/>
      <c r="M12" s="84"/>
      <c r="N12" s="84"/>
      <c r="O12" s="84" t="s">
        <v>102</v>
      </c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 t="s">
        <v>77</v>
      </c>
      <c r="I13" s="84"/>
      <c r="J13" s="84"/>
      <c r="K13" s="84"/>
      <c r="L13" s="84"/>
      <c r="M13" s="84"/>
      <c r="N13" s="84"/>
      <c r="O13" s="84" t="s">
        <v>103</v>
      </c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1743</v>
      </c>
      <c r="D15" s="31">
        <f t="shared" ref="D15:AG15" si="1">SUM(D16:D22)</f>
        <v>667</v>
      </c>
      <c r="E15" s="31">
        <f t="shared" si="1"/>
        <v>0</v>
      </c>
      <c r="F15" s="31">
        <f t="shared" si="1"/>
        <v>3723</v>
      </c>
      <c r="G15" s="31">
        <f t="shared" si="1"/>
        <v>8403</v>
      </c>
      <c r="H15" s="31">
        <f t="shared" si="1"/>
        <v>5699</v>
      </c>
      <c r="I15" s="31">
        <f t="shared" si="1"/>
        <v>812</v>
      </c>
      <c r="J15" s="31">
        <f t="shared" si="1"/>
        <v>3268</v>
      </c>
      <c r="K15" s="31">
        <f t="shared" si="1"/>
        <v>6098</v>
      </c>
      <c r="L15" s="31">
        <f t="shared" si="1"/>
        <v>580</v>
      </c>
      <c r="M15" s="31">
        <f t="shared" si="1"/>
        <v>0</v>
      </c>
      <c r="N15" s="31">
        <f t="shared" si="1"/>
        <v>1500</v>
      </c>
      <c r="O15" s="31">
        <f t="shared" si="1"/>
        <v>6815</v>
      </c>
      <c r="P15" s="31">
        <f t="shared" si="1"/>
        <v>4575</v>
      </c>
      <c r="Q15" s="31">
        <f t="shared" si="1"/>
        <v>2190</v>
      </c>
      <c r="R15" s="31">
        <f t="shared" si="1"/>
        <v>967</v>
      </c>
      <c r="S15" s="31">
        <f t="shared" si="1"/>
        <v>0</v>
      </c>
      <c r="T15" s="31">
        <f t="shared" si="1"/>
        <v>4867</v>
      </c>
      <c r="U15" s="31">
        <f t="shared" si="1"/>
        <v>2746</v>
      </c>
      <c r="V15" s="31">
        <f t="shared" si="1"/>
        <v>1130</v>
      </c>
      <c r="W15" s="31">
        <f t="shared" si="1"/>
        <v>328</v>
      </c>
      <c r="X15" s="31">
        <f t="shared" si="1"/>
        <v>8679</v>
      </c>
      <c r="Y15" s="31">
        <f t="shared" si="1"/>
        <v>985</v>
      </c>
      <c r="Z15" s="31">
        <f t="shared" si="1"/>
        <v>0</v>
      </c>
      <c r="AA15" s="31">
        <f t="shared" si="1"/>
        <v>615</v>
      </c>
      <c r="AB15" s="31">
        <f t="shared" si="1"/>
        <v>3666</v>
      </c>
      <c r="AC15" s="31">
        <f t="shared" si="1"/>
        <v>5817</v>
      </c>
      <c r="AD15" s="31">
        <f t="shared" si="1"/>
        <v>645</v>
      </c>
      <c r="AE15" s="31">
        <f t="shared" si="1"/>
        <v>1021</v>
      </c>
      <c r="AF15" s="31">
        <f t="shared" si="1"/>
        <v>2347</v>
      </c>
      <c r="AG15" s="31">
        <f t="shared" si="1"/>
        <v>0</v>
      </c>
      <c r="AH15" s="32">
        <f>SUM(C15:AG15)</f>
        <v>79886</v>
      </c>
    </row>
    <row r="16" spans="1:34" x14ac:dyDescent="0.5">
      <c r="B16" s="60" t="s">
        <v>18</v>
      </c>
      <c r="C16" s="30">
        <v>1150</v>
      </c>
      <c r="D16" s="30">
        <v>435</v>
      </c>
      <c r="E16" s="30"/>
      <c r="F16" s="30"/>
      <c r="G16" s="30">
        <v>8325</v>
      </c>
      <c r="H16" s="30">
        <v>1793</v>
      </c>
      <c r="I16" s="30"/>
      <c r="J16" s="30">
        <v>2439</v>
      </c>
      <c r="K16" s="30">
        <v>5675</v>
      </c>
      <c r="L16" s="30"/>
      <c r="M16" s="30"/>
      <c r="N16" s="30">
        <v>390</v>
      </c>
      <c r="O16" s="30">
        <v>4990</v>
      </c>
      <c r="P16" s="30">
        <v>1075</v>
      </c>
      <c r="Q16" s="30">
        <v>140</v>
      </c>
      <c r="R16" s="30"/>
      <c r="S16" s="30"/>
      <c r="T16" s="30">
        <v>3405</v>
      </c>
      <c r="U16" s="30">
        <v>512</v>
      </c>
      <c r="V16" s="30">
        <v>450</v>
      </c>
      <c r="W16" s="30">
        <v>45</v>
      </c>
      <c r="X16" s="30">
        <v>6474</v>
      </c>
      <c r="Y16" s="30"/>
      <c r="Z16" s="30"/>
      <c r="AA16" s="30"/>
      <c r="AB16" s="30">
        <v>3666</v>
      </c>
      <c r="AC16" s="30"/>
      <c r="AD16" s="30"/>
      <c r="AE16" s="30"/>
      <c r="AF16" s="30"/>
      <c r="AG16" s="30"/>
      <c r="AH16" s="10"/>
    </row>
    <row r="17" spans="2:34" x14ac:dyDescent="0.5">
      <c r="B17" s="61" t="s">
        <v>19</v>
      </c>
      <c r="C17" s="22"/>
      <c r="D17" s="22">
        <v>232</v>
      </c>
      <c r="E17" s="22"/>
      <c r="F17" s="22">
        <v>132</v>
      </c>
      <c r="G17" s="22"/>
      <c r="H17" s="22">
        <v>1100</v>
      </c>
      <c r="I17" s="22"/>
      <c r="J17" s="22"/>
      <c r="K17" s="22">
        <v>209</v>
      </c>
      <c r="L17" s="22"/>
      <c r="M17" s="22"/>
      <c r="N17" s="22"/>
      <c r="O17" s="22"/>
      <c r="P17" s="22">
        <v>3000</v>
      </c>
      <c r="Q17" s="22">
        <v>1480</v>
      </c>
      <c r="R17" s="22"/>
      <c r="S17" s="22"/>
      <c r="T17" s="22"/>
      <c r="U17" s="22"/>
      <c r="V17" s="22"/>
      <c r="W17" s="22">
        <v>250</v>
      </c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10"/>
    </row>
    <row r="18" spans="2:34" x14ac:dyDescent="0.5">
      <c r="B18" s="61" t="s">
        <v>20</v>
      </c>
      <c r="C18" s="22">
        <v>423</v>
      </c>
      <c r="D18" s="22"/>
      <c r="E18" s="22"/>
      <c r="F18" s="22">
        <v>3541</v>
      </c>
      <c r="G18" s="22">
        <v>78</v>
      </c>
      <c r="H18" s="22">
        <v>2136</v>
      </c>
      <c r="I18" s="22">
        <v>792</v>
      </c>
      <c r="J18" s="22">
        <v>829</v>
      </c>
      <c r="K18" s="22">
        <v>214</v>
      </c>
      <c r="L18" s="22">
        <v>280</v>
      </c>
      <c r="M18" s="22"/>
      <c r="N18" s="22">
        <v>560</v>
      </c>
      <c r="O18" s="22">
        <v>1825</v>
      </c>
      <c r="P18" s="22">
        <v>420</v>
      </c>
      <c r="Q18" s="22">
        <v>530</v>
      </c>
      <c r="R18" s="22">
        <v>967</v>
      </c>
      <c r="S18" s="22"/>
      <c r="T18" s="22">
        <v>1462</v>
      </c>
      <c r="U18" s="22">
        <v>2234</v>
      </c>
      <c r="V18" s="22">
        <v>680</v>
      </c>
      <c r="W18" s="22">
        <v>33</v>
      </c>
      <c r="X18" s="22">
        <v>2205</v>
      </c>
      <c r="Y18" s="22">
        <v>985</v>
      </c>
      <c r="Z18" s="22"/>
      <c r="AA18" s="22"/>
      <c r="AB18" s="22"/>
      <c r="AC18" s="22">
        <v>5372</v>
      </c>
      <c r="AD18" s="22">
        <v>45</v>
      </c>
      <c r="AE18" s="22">
        <v>1021</v>
      </c>
      <c r="AF18" s="22">
        <v>2095</v>
      </c>
      <c r="AG18" s="22"/>
      <c r="AH18" s="10"/>
    </row>
    <row r="19" spans="2:34" x14ac:dyDescent="0.5">
      <c r="B19" s="61" t="s">
        <v>21</v>
      </c>
      <c r="C19" s="22"/>
      <c r="D19" s="22"/>
      <c r="E19" s="22"/>
      <c r="F19" s="22"/>
      <c r="G19" s="22"/>
      <c r="H19" s="22">
        <v>670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22</v>
      </c>
      <c r="C20" s="22"/>
      <c r="D20" s="22"/>
      <c r="E20" s="22"/>
      <c r="F20" s="22"/>
      <c r="G20" s="22"/>
      <c r="H20" s="22"/>
      <c r="I20" s="22">
        <v>20</v>
      </c>
      <c r="J20" s="22"/>
      <c r="K20" s="22"/>
      <c r="L20" s="22"/>
      <c r="M20" s="22"/>
      <c r="N20" s="22">
        <v>550</v>
      </c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>
        <v>450</v>
      </c>
      <c r="AB20" s="22"/>
      <c r="AC20" s="22">
        <v>400</v>
      </c>
      <c r="AD20" s="22">
        <v>600</v>
      </c>
      <c r="AE20" s="22"/>
      <c r="AF20" s="22">
        <v>32</v>
      </c>
      <c r="AG20" s="22"/>
      <c r="AH20" s="10"/>
    </row>
    <row r="21" spans="2:34" x14ac:dyDescent="0.5">
      <c r="B21" s="61" t="s">
        <v>32</v>
      </c>
      <c r="C21" s="22">
        <v>170</v>
      </c>
      <c r="D21" s="22"/>
      <c r="E21" s="22"/>
      <c r="F21" s="22">
        <v>50</v>
      </c>
      <c r="G21" s="22"/>
      <c r="H21" s="22"/>
      <c r="I21" s="22"/>
      <c r="J21" s="22"/>
      <c r="K21" s="22"/>
      <c r="L21" s="22">
        <v>300</v>
      </c>
      <c r="M21" s="22"/>
      <c r="N21" s="22"/>
      <c r="O21" s="22"/>
      <c r="P21" s="22">
        <v>80</v>
      </c>
      <c r="Q21" s="22">
        <v>40</v>
      </c>
      <c r="R21" s="22"/>
      <c r="S21" s="22"/>
      <c r="T21" s="22"/>
      <c r="U21" s="22"/>
      <c r="V21" s="22"/>
      <c r="W21" s="22"/>
      <c r="X21" s="22"/>
      <c r="Y21" s="22"/>
      <c r="Z21" s="22"/>
      <c r="AA21" s="22">
        <v>165</v>
      </c>
      <c r="AB21" s="22"/>
      <c r="AC21" s="22">
        <v>45</v>
      </c>
      <c r="AD21" s="22"/>
      <c r="AE21" s="22"/>
      <c r="AF21" s="22"/>
      <c r="AG21" s="22"/>
      <c r="AH21" s="10"/>
    </row>
    <row r="22" spans="2:34" ht="21.75" thickBot="1" x14ac:dyDescent="0.55000000000000004">
      <c r="B22" s="62" t="s">
        <v>33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>
        <v>220</v>
      </c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85</v>
      </c>
      <c r="D23" s="37">
        <f t="shared" ref="D23:AG23" si="2">SUM(D24:D36)</f>
        <v>5</v>
      </c>
      <c r="E23" s="37">
        <f t="shared" si="2"/>
        <v>0</v>
      </c>
      <c r="F23" s="37">
        <f t="shared" si="2"/>
        <v>0</v>
      </c>
      <c r="G23" s="37">
        <f t="shared" si="2"/>
        <v>90</v>
      </c>
      <c r="H23" s="37">
        <f t="shared" si="2"/>
        <v>52</v>
      </c>
      <c r="I23" s="37">
        <f t="shared" si="2"/>
        <v>54</v>
      </c>
      <c r="J23" s="37">
        <f t="shared" si="2"/>
        <v>130</v>
      </c>
      <c r="K23" s="37">
        <f t="shared" si="2"/>
        <v>80</v>
      </c>
      <c r="L23" s="37">
        <f t="shared" si="2"/>
        <v>30</v>
      </c>
      <c r="M23" s="37">
        <f t="shared" si="2"/>
        <v>0</v>
      </c>
      <c r="N23" s="37">
        <f t="shared" si="2"/>
        <v>331</v>
      </c>
      <c r="O23" s="37">
        <f t="shared" si="2"/>
        <v>148</v>
      </c>
      <c r="P23" s="37">
        <f t="shared" si="2"/>
        <v>38</v>
      </c>
      <c r="Q23" s="37">
        <f t="shared" si="2"/>
        <v>67</v>
      </c>
      <c r="R23" s="37">
        <f t="shared" si="2"/>
        <v>94</v>
      </c>
      <c r="S23" s="37">
        <f t="shared" si="2"/>
        <v>0</v>
      </c>
      <c r="T23" s="37">
        <f t="shared" si="2"/>
        <v>65</v>
      </c>
      <c r="U23" s="37">
        <f t="shared" si="2"/>
        <v>30</v>
      </c>
      <c r="V23" s="37">
        <f t="shared" si="2"/>
        <v>170</v>
      </c>
      <c r="W23" s="37">
        <f t="shared" si="2"/>
        <v>45</v>
      </c>
      <c r="X23" s="37">
        <f t="shared" si="2"/>
        <v>20</v>
      </c>
      <c r="Y23" s="37">
        <f t="shared" si="2"/>
        <v>60</v>
      </c>
      <c r="Z23" s="37">
        <f t="shared" si="2"/>
        <v>0</v>
      </c>
      <c r="AA23" s="37">
        <f t="shared" si="2"/>
        <v>95</v>
      </c>
      <c r="AB23" s="37">
        <f t="shared" si="2"/>
        <v>23</v>
      </c>
      <c r="AC23" s="37">
        <f t="shared" si="2"/>
        <v>260</v>
      </c>
      <c r="AD23" s="37">
        <f t="shared" si="2"/>
        <v>43</v>
      </c>
      <c r="AE23" s="37">
        <f t="shared" si="2"/>
        <v>285</v>
      </c>
      <c r="AF23" s="37">
        <f t="shared" si="2"/>
        <v>80</v>
      </c>
      <c r="AG23" s="37">
        <f t="shared" si="2"/>
        <v>0</v>
      </c>
      <c r="AH23" s="38">
        <f>SUM(C23:AG23)</f>
        <v>2380</v>
      </c>
    </row>
    <row r="24" spans="2:34" x14ac:dyDescent="0.5">
      <c r="B24" s="35" t="s">
        <v>24</v>
      </c>
      <c r="C24" s="36">
        <v>10</v>
      </c>
      <c r="D24" s="36"/>
      <c r="E24" s="36"/>
      <c r="F24" s="36"/>
      <c r="G24" s="36">
        <v>5</v>
      </c>
      <c r="H24" s="36"/>
      <c r="I24" s="36">
        <v>5</v>
      </c>
      <c r="J24" s="36">
        <v>5</v>
      </c>
      <c r="K24" s="36"/>
      <c r="L24" s="36"/>
      <c r="M24" s="36"/>
      <c r="N24" s="36"/>
      <c r="O24" s="36"/>
      <c r="P24" s="36">
        <v>5</v>
      </c>
      <c r="Q24" s="36">
        <v>5</v>
      </c>
      <c r="R24" s="36">
        <v>5</v>
      </c>
      <c r="S24" s="36"/>
      <c r="T24" s="36">
        <v>5</v>
      </c>
      <c r="U24" s="36"/>
      <c r="V24" s="36">
        <v>5</v>
      </c>
      <c r="W24" s="36">
        <v>5</v>
      </c>
      <c r="X24" s="36"/>
      <c r="Y24" s="36">
        <v>5</v>
      </c>
      <c r="Z24" s="36"/>
      <c r="AA24" s="36"/>
      <c r="AB24" s="36">
        <v>5</v>
      </c>
      <c r="AC24" s="36"/>
      <c r="AD24" s="36">
        <v>5</v>
      </c>
      <c r="AE24" s="36">
        <v>5</v>
      </c>
      <c r="AF24" s="36"/>
      <c r="AG24" s="36"/>
      <c r="AH24" s="6"/>
    </row>
    <row r="25" spans="2:34" x14ac:dyDescent="0.5">
      <c r="B25" s="11" t="s">
        <v>25</v>
      </c>
      <c r="C25" s="8">
        <v>30</v>
      </c>
      <c r="D25" s="8"/>
      <c r="E25" s="8"/>
      <c r="F25" s="8"/>
      <c r="G25" s="8">
        <v>30</v>
      </c>
      <c r="H25" s="8"/>
      <c r="I25" s="8"/>
      <c r="J25" s="8">
        <v>27</v>
      </c>
      <c r="K25" s="8">
        <v>35</v>
      </c>
      <c r="L25" s="8"/>
      <c r="M25" s="8"/>
      <c r="N25" s="8">
        <v>35</v>
      </c>
      <c r="O25" s="8">
        <v>5</v>
      </c>
      <c r="P25" s="8"/>
      <c r="Q25" s="8">
        <v>30</v>
      </c>
      <c r="R25" s="8">
        <v>30</v>
      </c>
      <c r="S25" s="8"/>
      <c r="T25" s="8">
        <v>30</v>
      </c>
      <c r="U25" s="8"/>
      <c r="V25" s="8">
        <v>5</v>
      </c>
      <c r="W25" s="8">
        <v>30</v>
      </c>
      <c r="X25" s="8">
        <v>20</v>
      </c>
      <c r="Y25" s="8">
        <v>5</v>
      </c>
      <c r="Z25" s="8"/>
      <c r="AA25" s="8">
        <v>30</v>
      </c>
      <c r="AB25" s="8">
        <v>13</v>
      </c>
      <c r="AC25" s="8"/>
      <c r="AD25" s="8">
        <v>30</v>
      </c>
      <c r="AE25" s="8"/>
      <c r="AF25" s="8"/>
      <c r="AG25" s="8"/>
      <c r="AH25" s="6"/>
    </row>
    <row r="26" spans="2:34" x14ac:dyDescent="0.5">
      <c r="B26" s="11" t="s">
        <v>26</v>
      </c>
      <c r="C26" s="8">
        <v>45</v>
      </c>
      <c r="D26" s="8"/>
      <c r="E26" s="8"/>
      <c r="F26" s="8"/>
      <c r="G26" s="8">
        <v>30</v>
      </c>
      <c r="H26" s="8">
        <v>52</v>
      </c>
      <c r="I26" s="8">
        <v>45</v>
      </c>
      <c r="J26" s="8">
        <v>40</v>
      </c>
      <c r="K26" s="8">
        <v>45</v>
      </c>
      <c r="L26" s="8"/>
      <c r="M26" s="8"/>
      <c r="N26" s="8"/>
      <c r="O26" s="8">
        <v>33</v>
      </c>
      <c r="P26" s="8">
        <v>25</v>
      </c>
      <c r="Q26" s="8">
        <v>20</v>
      </c>
      <c r="R26" s="8"/>
      <c r="S26" s="8"/>
      <c r="T26" s="8">
        <v>30</v>
      </c>
      <c r="U26" s="8">
        <v>30</v>
      </c>
      <c r="V26" s="8"/>
      <c r="W26" s="8">
        <v>10</v>
      </c>
      <c r="X26" s="8"/>
      <c r="Y26" s="8">
        <v>50</v>
      </c>
      <c r="Z26" s="8"/>
      <c r="AA26" s="8">
        <v>5</v>
      </c>
      <c r="AB26" s="8">
        <v>5</v>
      </c>
      <c r="AC26" s="8">
        <v>100</v>
      </c>
      <c r="AD26" s="8">
        <v>8</v>
      </c>
      <c r="AE26" s="8">
        <v>40</v>
      </c>
      <c r="AF26" s="8"/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>
        <v>2</v>
      </c>
      <c r="H27" s="8"/>
      <c r="I27" s="8">
        <v>4</v>
      </c>
      <c r="J27" s="8"/>
      <c r="K27" s="8"/>
      <c r="L27" s="8"/>
      <c r="M27" s="8"/>
      <c r="N27" s="8">
        <v>160</v>
      </c>
      <c r="O27" s="8">
        <v>30</v>
      </c>
      <c r="P27" s="8"/>
      <c r="Q27" s="8"/>
      <c r="R27" s="8"/>
      <c r="S27" s="8"/>
      <c r="T27" s="8"/>
      <c r="U27" s="8"/>
      <c r="V27" s="8">
        <v>160</v>
      </c>
      <c r="W27" s="8"/>
      <c r="X27" s="8"/>
      <c r="Y27" s="8"/>
      <c r="Z27" s="8"/>
      <c r="AA27" s="8"/>
      <c r="AB27" s="8"/>
      <c r="AC27" s="8">
        <v>160</v>
      </c>
      <c r="AD27" s="8"/>
      <c r="AE27" s="8"/>
      <c r="AF27" s="8"/>
      <c r="AG27" s="8"/>
      <c r="AH27" s="6"/>
    </row>
    <row r="28" spans="2:34" x14ac:dyDescent="0.5">
      <c r="B28" s="11" t="s">
        <v>27</v>
      </c>
      <c r="C28" s="8"/>
      <c r="D28" s="8">
        <v>5</v>
      </c>
      <c r="E28" s="8"/>
      <c r="F28" s="8"/>
      <c r="G28" s="8">
        <v>23</v>
      </c>
      <c r="H28" s="8"/>
      <c r="I28" s="8"/>
      <c r="J28" s="8"/>
      <c r="K28" s="8"/>
      <c r="L28" s="8"/>
      <c r="M28" s="8"/>
      <c r="N28" s="8"/>
      <c r="O28" s="8">
        <v>20</v>
      </c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>
        <v>9</v>
      </c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>
        <v>5</v>
      </c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>
        <v>16</v>
      </c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>
        <v>115</v>
      </c>
      <c r="O33" s="8">
        <v>55</v>
      </c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/>
      <c r="F34" s="8"/>
      <c r="G34" s="8"/>
      <c r="H34" s="8"/>
      <c r="I34" s="8"/>
      <c r="J34" s="8">
        <v>45</v>
      </c>
      <c r="K34" s="8"/>
      <c r="L34" s="8">
        <v>30</v>
      </c>
      <c r="M34" s="8"/>
      <c r="N34" s="8">
        <v>5</v>
      </c>
      <c r="O34" s="8"/>
      <c r="P34" s="8">
        <v>8</v>
      </c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>
        <v>20</v>
      </c>
      <c r="AG34" s="8"/>
      <c r="AH34" s="6"/>
    </row>
    <row r="35" spans="2:34" x14ac:dyDescent="0.5">
      <c r="B35" s="11" t="s">
        <v>48</v>
      </c>
      <c r="C35" s="8"/>
      <c r="D35" s="8"/>
      <c r="E35" s="8"/>
      <c r="F35" s="8"/>
      <c r="G35" s="8"/>
      <c r="H35" s="8"/>
      <c r="I35" s="8"/>
      <c r="J35" s="8">
        <v>13</v>
      </c>
      <c r="K35" s="8"/>
      <c r="L35" s="8"/>
      <c r="M35" s="8"/>
      <c r="N35" s="8"/>
      <c r="O35" s="8"/>
      <c r="P35" s="8"/>
      <c r="Q35" s="8">
        <v>12</v>
      </c>
      <c r="R35" s="8">
        <v>50</v>
      </c>
      <c r="S35" s="8"/>
      <c r="T35" s="8"/>
      <c r="U35" s="8"/>
      <c r="V35" s="8"/>
      <c r="W35" s="8"/>
      <c r="X35" s="8"/>
      <c r="Y35" s="8"/>
      <c r="Z35" s="8"/>
      <c r="AA35" s="8">
        <v>60</v>
      </c>
      <c r="AB35" s="8"/>
      <c r="AC35" s="8"/>
      <c r="AD35" s="8"/>
      <c r="AE35" s="8">
        <v>240</v>
      </c>
      <c r="AF35" s="8">
        <v>60</v>
      </c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>
        <v>4896</v>
      </c>
      <c r="D37" s="45">
        <v>665</v>
      </c>
      <c r="E37" s="45"/>
      <c r="F37" s="87">
        <v>1653</v>
      </c>
      <c r="G37" s="87">
        <v>3309</v>
      </c>
      <c r="H37" s="87">
        <v>8488</v>
      </c>
      <c r="I37" s="87">
        <v>3743</v>
      </c>
      <c r="J37" s="87">
        <v>2723</v>
      </c>
      <c r="K37" s="87">
        <v>9431</v>
      </c>
      <c r="L37" s="87">
        <v>1165</v>
      </c>
      <c r="M37" s="45"/>
      <c r="N37" s="87">
        <v>3644</v>
      </c>
      <c r="O37" s="87">
        <v>4271</v>
      </c>
      <c r="P37" s="87">
        <v>2204</v>
      </c>
      <c r="Q37" s="87">
        <v>3328</v>
      </c>
      <c r="R37" s="87">
        <v>2044</v>
      </c>
      <c r="S37" s="45"/>
      <c r="T37" s="87">
        <v>6978</v>
      </c>
      <c r="U37" s="87">
        <v>1714</v>
      </c>
      <c r="V37" s="78">
        <v>2571</v>
      </c>
      <c r="W37" s="44">
        <v>10852</v>
      </c>
      <c r="X37" s="87">
        <v>7680</v>
      </c>
      <c r="Y37" s="87">
        <v>2240</v>
      </c>
      <c r="Z37" s="87"/>
      <c r="AA37" s="87">
        <v>5599</v>
      </c>
      <c r="AB37" s="87">
        <v>1786</v>
      </c>
      <c r="AC37" s="44">
        <v>4238</v>
      </c>
      <c r="AD37" s="44">
        <v>1046</v>
      </c>
      <c r="AE37" s="44">
        <v>1021</v>
      </c>
      <c r="AF37" s="44">
        <v>500</v>
      </c>
      <c r="AG37" s="44"/>
      <c r="AH37" s="46">
        <f>SUM(C37:AG37)</f>
        <v>97789</v>
      </c>
    </row>
    <row r="38" spans="2:34" x14ac:dyDescent="0.5">
      <c r="B38" s="42" t="s">
        <v>3</v>
      </c>
      <c r="C38" s="43">
        <v>353</v>
      </c>
      <c r="D38" s="43">
        <v>143</v>
      </c>
      <c r="E38" s="43"/>
      <c r="F38" s="43"/>
      <c r="G38" s="43">
        <v>386</v>
      </c>
      <c r="H38" s="43">
        <v>176</v>
      </c>
      <c r="I38" s="88">
        <v>2710</v>
      </c>
      <c r="J38" s="88">
        <v>1564</v>
      </c>
      <c r="K38" s="43"/>
      <c r="L38" s="43">
        <v>289</v>
      </c>
      <c r="M38" s="43"/>
      <c r="N38" s="88">
        <v>2405</v>
      </c>
      <c r="O38" s="43">
        <v>823</v>
      </c>
      <c r="P38" s="88">
        <v>1284</v>
      </c>
      <c r="Q38" s="43">
        <v>77</v>
      </c>
      <c r="R38" s="43">
        <v>903</v>
      </c>
      <c r="S38" s="43"/>
      <c r="T38" s="43"/>
      <c r="U38" s="43">
        <v>240</v>
      </c>
      <c r="V38" s="88">
        <v>2147</v>
      </c>
      <c r="W38" s="88">
        <v>4115</v>
      </c>
      <c r="X38" s="43"/>
      <c r="Y38" s="43">
        <v>945</v>
      </c>
      <c r="Z38" s="88"/>
      <c r="AA38" s="88">
        <v>5328</v>
      </c>
      <c r="AB38" s="43"/>
      <c r="AC38" s="95">
        <v>80</v>
      </c>
      <c r="AD38" s="95"/>
      <c r="AE38" s="95">
        <v>176</v>
      </c>
      <c r="AF38" s="95">
        <v>15</v>
      </c>
      <c r="AG38" s="95"/>
      <c r="AH38" s="7"/>
    </row>
    <row r="39" spans="2:34" x14ac:dyDescent="0.5">
      <c r="B39" s="15" t="s">
        <v>10</v>
      </c>
      <c r="C39" s="9">
        <v>126</v>
      </c>
      <c r="D39" s="9">
        <v>38</v>
      </c>
      <c r="E39" s="9"/>
      <c r="F39" s="9"/>
      <c r="G39" s="9">
        <v>484</v>
      </c>
      <c r="H39" s="9">
        <v>52</v>
      </c>
      <c r="I39" s="9">
        <v>119</v>
      </c>
      <c r="J39" s="9">
        <v>574</v>
      </c>
      <c r="K39" s="9"/>
      <c r="L39" s="9">
        <v>409</v>
      </c>
      <c r="M39" s="9"/>
      <c r="N39" s="9">
        <v>91</v>
      </c>
      <c r="O39" s="9">
        <v>565</v>
      </c>
      <c r="P39" s="9"/>
      <c r="Q39" s="9">
        <v>33</v>
      </c>
      <c r="R39" s="9">
        <v>122</v>
      </c>
      <c r="S39" s="9"/>
      <c r="T39" s="9"/>
      <c r="U39" s="9">
        <v>50</v>
      </c>
      <c r="V39" s="9">
        <v>21</v>
      </c>
      <c r="W39" s="9">
        <v>320</v>
      </c>
      <c r="X39" s="9"/>
      <c r="Y39" s="9">
        <v>157</v>
      </c>
      <c r="Z39" s="9"/>
      <c r="AA39" s="9">
        <v>128</v>
      </c>
      <c r="AB39" s="9"/>
      <c r="AC39" s="9">
        <v>23</v>
      </c>
      <c r="AD39" s="9"/>
      <c r="AE39" s="9">
        <v>125</v>
      </c>
      <c r="AF39" s="9">
        <v>30</v>
      </c>
      <c r="AG39" s="9"/>
      <c r="AH39" s="14"/>
    </row>
    <row r="40" spans="2:34" x14ac:dyDescent="0.5">
      <c r="B40" s="15" t="s">
        <v>11</v>
      </c>
      <c r="C40" s="9">
        <v>7</v>
      </c>
      <c r="D40" s="9">
        <v>1</v>
      </c>
      <c r="E40" s="9"/>
      <c r="F40" s="9"/>
      <c r="G40" s="9">
        <v>5</v>
      </c>
      <c r="H40" s="9">
        <v>3</v>
      </c>
      <c r="I40" s="107">
        <v>44</v>
      </c>
      <c r="J40" s="9">
        <v>29</v>
      </c>
      <c r="K40" s="9"/>
      <c r="L40" s="9">
        <v>4</v>
      </c>
      <c r="M40" s="9"/>
      <c r="N40" s="9">
        <v>43</v>
      </c>
      <c r="O40" s="9">
        <v>17</v>
      </c>
      <c r="P40" s="9">
        <v>28</v>
      </c>
      <c r="Q40" s="9">
        <v>1</v>
      </c>
      <c r="R40" s="9">
        <v>12</v>
      </c>
      <c r="S40" s="9"/>
      <c r="T40" s="9"/>
      <c r="U40" s="9">
        <v>4</v>
      </c>
      <c r="V40" s="9">
        <v>45</v>
      </c>
      <c r="W40" s="9">
        <v>122</v>
      </c>
      <c r="X40" s="9"/>
      <c r="Y40" s="9">
        <v>16</v>
      </c>
      <c r="Z40" s="9"/>
      <c r="AA40" s="9">
        <v>86</v>
      </c>
      <c r="AB40" s="9"/>
      <c r="AC40" s="9">
        <v>2</v>
      </c>
      <c r="AD40" s="9"/>
      <c r="AE40" s="9">
        <v>3</v>
      </c>
      <c r="AF40" s="9"/>
      <c r="AG40" s="9"/>
      <c r="AH40" s="7"/>
    </row>
    <row r="41" spans="2:34" x14ac:dyDescent="0.5">
      <c r="B41" s="16" t="s">
        <v>5</v>
      </c>
      <c r="C41" s="97">
        <f>SUM(C37-C38)</f>
        <v>4543</v>
      </c>
      <c r="D41" s="97">
        <f t="shared" ref="D41:AG41" si="3">SUM(D37-D38)</f>
        <v>522</v>
      </c>
      <c r="E41" s="97">
        <f t="shared" si="3"/>
        <v>0</v>
      </c>
      <c r="F41" s="97">
        <f t="shared" si="3"/>
        <v>1653</v>
      </c>
      <c r="G41" s="97">
        <f t="shared" si="3"/>
        <v>2923</v>
      </c>
      <c r="H41" s="97">
        <f t="shared" si="3"/>
        <v>8312</v>
      </c>
      <c r="I41" s="97">
        <f t="shared" si="3"/>
        <v>1033</v>
      </c>
      <c r="J41" s="97">
        <f t="shared" si="3"/>
        <v>1159</v>
      </c>
      <c r="K41" s="97">
        <f t="shared" si="3"/>
        <v>9431</v>
      </c>
      <c r="L41" s="97">
        <f t="shared" si="3"/>
        <v>876</v>
      </c>
      <c r="M41" s="97">
        <f t="shared" si="3"/>
        <v>0</v>
      </c>
      <c r="N41" s="97">
        <f t="shared" si="3"/>
        <v>1239</v>
      </c>
      <c r="O41" s="97">
        <f t="shared" si="3"/>
        <v>3448</v>
      </c>
      <c r="P41" s="97">
        <f t="shared" si="3"/>
        <v>920</v>
      </c>
      <c r="Q41" s="97">
        <f t="shared" si="3"/>
        <v>3251</v>
      </c>
      <c r="R41" s="97">
        <f t="shared" si="3"/>
        <v>1141</v>
      </c>
      <c r="S41" s="97">
        <f t="shared" si="3"/>
        <v>0</v>
      </c>
      <c r="T41" s="97">
        <f t="shared" si="3"/>
        <v>6978</v>
      </c>
      <c r="U41" s="97">
        <f t="shared" si="3"/>
        <v>1474</v>
      </c>
      <c r="V41" s="97">
        <f t="shared" si="3"/>
        <v>424</v>
      </c>
      <c r="W41" s="97">
        <f t="shared" si="3"/>
        <v>6737</v>
      </c>
      <c r="X41" s="97">
        <f t="shared" si="3"/>
        <v>7680</v>
      </c>
      <c r="Y41" s="97">
        <f t="shared" si="3"/>
        <v>1295</v>
      </c>
      <c r="Z41" s="97">
        <f t="shared" si="3"/>
        <v>0</v>
      </c>
      <c r="AA41" s="97">
        <f t="shared" si="3"/>
        <v>271</v>
      </c>
      <c r="AB41" s="97">
        <f t="shared" si="3"/>
        <v>1786</v>
      </c>
      <c r="AC41" s="97">
        <f t="shared" si="3"/>
        <v>4158</v>
      </c>
      <c r="AD41" s="97">
        <f t="shared" si="3"/>
        <v>1046</v>
      </c>
      <c r="AE41" s="97">
        <f t="shared" si="3"/>
        <v>845</v>
      </c>
      <c r="AF41" s="97">
        <f t="shared" si="3"/>
        <v>485</v>
      </c>
      <c r="AG41" s="97">
        <f t="shared" si="3"/>
        <v>0</v>
      </c>
      <c r="AH41" s="13">
        <f>SUM(C41:AG41)</f>
        <v>73630</v>
      </c>
    </row>
    <row r="42" spans="2:34" x14ac:dyDescent="0.5">
      <c r="B42" s="16" t="s">
        <v>8</v>
      </c>
      <c r="C42" s="5">
        <v>724</v>
      </c>
      <c r="D42" s="5">
        <v>120</v>
      </c>
      <c r="E42" s="5"/>
      <c r="F42" s="5"/>
      <c r="G42" s="5">
        <v>1271</v>
      </c>
      <c r="H42" s="92">
        <v>1242</v>
      </c>
      <c r="I42" s="5">
        <v>252</v>
      </c>
      <c r="J42" s="5">
        <v>20</v>
      </c>
      <c r="K42" s="5">
        <v>207</v>
      </c>
      <c r="L42" s="5">
        <v>91</v>
      </c>
      <c r="M42" s="5"/>
      <c r="N42" s="5">
        <v>102</v>
      </c>
      <c r="O42" s="5">
        <v>595</v>
      </c>
      <c r="P42" s="5">
        <v>95</v>
      </c>
      <c r="Q42" s="5">
        <v>736</v>
      </c>
      <c r="R42" s="5"/>
      <c r="S42" s="5"/>
      <c r="T42" s="5"/>
      <c r="U42" s="5">
        <v>146</v>
      </c>
      <c r="V42" s="5">
        <v>192</v>
      </c>
      <c r="W42" s="5">
        <v>231</v>
      </c>
      <c r="X42" s="5">
        <v>130</v>
      </c>
      <c r="Y42" s="5">
        <v>415</v>
      </c>
      <c r="Z42" s="5"/>
      <c r="AA42" s="5">
        <v>122</v>
      </c>
      <c r="AB42" s="5"/>
      <c r="AC42" s="92">
        <v>571</v>
      </c>
      <c r="AD42" s="5"/>
      <c r="AE42" s="5">
        <v>0</v>
      </c>
      <c r="AF42" s="5">
        <v>205</v>
      </c>
      <c r="AG42" s="5"/>
      <c r="AH42" s="12"/>
    </row>
    <row r="43" spans="2:34" ht="18" customHeight="1" thickBot="1" x14ac:dyDescent="0.55000000000000004">
      <c r="B43" s="47" t="s">
        <v>7</v>
      </c>
      <c r="C43" s="48">
        <v>66</v>
      </c>
      <c r="D43" s="48">
        <v>10</v>
      </c>
      <c r="E43" s="48"/>
      <c r="F43" s="48"/>
      <c r="G43" s="48">
        <v>66</v>
      </c>
      <c r="H43" s="48">
        <v>190</v>
      </c>
      <c r="I43" s="48">
        <v>15</v>
      </c>
      <c r="J43" s="48">
        <v>17</v>
      </c>
      <c r="K43" s="48">
        <v>178</v>
      </c>
      <c r="L43" s="48">
        <v>18</v>
      </c>
      <c r="M43" s="48"/>
      <c r="N43" s="48">
        <v>24</v>
      </c>
      <c r="O43" s="48">
        <v>51</v>
      </c>
      <c r="P43" s="48">
        <v>17</v>
      </c>
      <c r="Q43" s="48">
        <v>67</v>
      </c>
      <c r="R43" s="48"/>
      <c r="S43" s="48"/>
      <c r="T43" s="48"/>
      <c r="U43" s="48">
        <v>53</v>
      </c>
      <c r="V43" s="48">
        <v>7</v>
      </c>
      <c r="W43" s="48">
        <v>96</v>
      </c>
      <c r="X43" s="48">
        <v>293</v>
      </c>
      <c r="Y43" s="48">
        <v>26</v>
      </c>
      <c r="Z43" s="48"/>
      <c r="AA43" s="48">
        <v>2</v>
      </c>
      <c r="AB43" s="93"/>
      <c r="AC43" s="48">
        <v>76</v>
      </c>
      <c r="AD43" s="48"/>
      <c r="AE43" s="48">
        <v>16</v>
      </c>
      <c r="AF43" s="48">
        <v>7</v>
      </c>
      <c r="AG43" s="48"/>
      <c r="AH43" s="96"/>
    </row>
    <row r="44" spans="2:34" ht="21.75" thickBot="1" x14ac:dyDescent="0.55000000000000004">
      <c r="B44" s="65" t="s">
        <v>9</v>
      </c>
      <c r="C44" s="49">
        <v>279</v>
      </c>
      <c r="D44" s="49"/>
      <c r="E44" s="49"/>
      <c r="F44" s="49">
        <v>215</v>
      </c>
      <c r="G44" s="49">
        <v>245</v>
      </c>
      <c r="H44" s="49">
        <v>557</v>
      </c>
      <c r="I44" s="49">
        <v>800</v>
      </c>
      <c r="J44" s="49">
        <v>364</v>
      </c>
      <c r="K44" s="108">
        <v>1521</v>
      </c>
      <c r="L44" s="49"/>
      <c r="M44" s="49"/>
      <c r="N44" s="49"/>
      <c r="O44" s="49">
        <v>638</v>
      </c>
      <c r="P44" s="49">
        <v>150</v>
      </c>
      <c r="Q44" s="49"/>
      <c r="R44" s="49"/>
      <c r="S44" s="49"/>
      <c r="T44" s="49"/>
      <c r="U44" s="49"/>
      <c r="V44" s="49">
        <v>72</v>
      </c>
      <c r="W44" s="49">
        <v>70</v>
      </c>
      <c r="X44" s="49">
        <v>605</v>
      </c>
      <c r="Y44" s="49"/>
      <c r="Z44" s="49"/>
      <c r="AA44" s="49"/>
      <c r="AB44" s="49"/>
      <c r="AC44" s="49">
        <v>651</v>
      </c>
      <c r="AD44" s="49"/>
      <c r="AE44" s="49">
        <v>273</v>
      </c>
      <c r="AF44" s="49">
        <v>71</v>
      </c>
      <c r="AG44" s="49"/>
      <c r="AH44" s="50"/>
    </row>
    <row r="45" spans="2:34" ht="21.75" thickBot="1" x14ac:dyDescent="0.55000000000000004">
      <c r="B45" s="66" t="s">
        <v>14</v>
      </c>
      <c r="C45" s="51">
        <f>C39+C42+C44</f>
        <v>1129</v>
      </c>
      <c r="D45" s="51">
        <f t="shared" ref="D45:AH45" si="4">D39+D42+D44</f>
        <v>158</v>
      </c>
      <c r="E45" s="51">
        <f t="shared" si="4"/>
        <v>0</v>
      </c>
      <c r="F45" s="51">
        <f t="shared" si="4"/>
        <v>215</v>
      </c>
      <c r="G45" s="51">
        <f t="shared" si="4"/>
        <v>2000</v>
      </c>
      <c r="H45" s="51">
        <f t="shared" si="4"/>
        <v>1851</v>
      </c>
      <c r="I45" s="51">
        <f t="shared" si="4"/>
        <v>1171</v>
      </c>
      <c r="J45" s="51">
        <f t="shared" si="4"/>
        <v>958</v>
      </c>
      <c r="K45" s="51">
        <f t="shared" si="4"/>
        <v>1728</v>
      </c>
      <c r="L45" s="51">
        <f t="shared" si="4"/>
        <v>500</v>
      </c>
      <c r="M45" s="51">
        <f t="shared" si="4"/>
        <v>0</v>
      </c>
      <c r="N45" s="51">
        <f t="shared" si="4"/>
        <v>193</v>
      </c>
      <c r="O45" s="51">
        <f t="shared" si="4"/>
        <v>1798</v>
      </c>
      <c r="P45" s="51">
        <f t="shared" si="4"/>
        <v>245</v>
      </c>
      <c r="Q45" s="51">
        <f t="shared" si="4"/>
        <v>769</v>
      </c>
      <c r="R45" s="51">
        <f t="shared" si="4"/>
        <v>122</v>
      </c>
      <c r="S45" s="51">
        <f t="shared" si="4"/>
        <v>0</v>
      </c>
      <c r="T45" s="51">
        <f t="shared" si="4"/>
        <v>0</v>
      </c>
      <c r="U45" s="51">
        <f t="shared" si="4"/>
        <v>196</v>
      </c>
      <c r="V45" s="51">
        <f t="shared" si="4"/>
        <v>285</v>
      </c>
      <c r="W45" s="51">
        <f t="shared" si="4"/>
        <v>621</v>
      </c>
      <c r="X45" s="51">
        <f t="shared" si="4"/>
        <v>735</v>
      </c>
      <c r="Y45" s="51">
        <f t="shared" si="4"/>
        <v>572</v>
      </c>
      <c r="Z45" s="51">
        <f t="shared" si="4"/>
        <v>0</v>
      </c>
      <c r="AA45" s="51">
        <f t="shared" si="4"/>
        <v>250</v>
      </c>
      <c r="AB45" s="51">
        <f t="shared" si="4"/>
        <v>0</v>
      </c>
      <c r="AC45" s="51">
        <f t="shared" si="4"/>
        <v>1245</v>
      </c>
      <c r="AD45" s="51">
        <f t="shared" si="4"/>
        <v>0</v>
      </c>
      <c r="AE45" s="51">
        <f t="shared" si="4"/>
        <v>398</v>
      </c>
      <c r="AF45" s="51">
        <f t="shared" si="4"/>
        <v>306</v>
      </c>
      <c r="AG45" s="51">
        <f t="shared" si="4"/>
        <v>0</v>
      </c>
      <c r="AH45" s="51">
        <f t="shared" si="4"/>
        <v>0</v>
      </c>
    </row>
    <row r="46" spans="2:34" ht="21.75" thickBot="1" x14ac:dyDescent="0.55000000000000004">
      <c r="B46" s="67" t="s">
        <v>6</v>
      </c>
      <c r="C46" s="77">
        <f>16674-C37</f>
        <v>11778</v>
      </c>
      <c r="D46" s="77">
        <f>C46-D37</f>
        <v>11113</v>
      </c>
      <c r="E46" s="53"/>
      <c r="F46" s="77">
        <f>D46-F37</f>
        <v>9460</v>
      </c>
      <c r="G46" s="77">
        <f>F46-G37</f>
        <v>6151</v>
      </c>
      <c r="H46" s="112">
        <f>36151-H37</f>
        <v>27663</v>
      </c>
      <c r="I46" s="112">
        <f>H46-I37</f>
        <v>23920</v>
      </c>
      <c r="J46" s="112">
        <f>I46-J37</f>
        <v>21197</v>
      </c>
      <c r="K46" s="112">
        <f>J46-K37</f>
        <v>11766</v>
      </c>
      <c r="L46" s="112">
        <f>K46-L37</f>
        <v>10601</v>
      </c>
      <c r="M46" s="112">
        <f t="shared" ref="M46:P46" si="5">L46-M37</f>
        <v>10601</v>
      </c>
      <c r="N46" s="112">
        <f t="shared" si="5"/>
        <v>6957</v>
      </c>
      <c r="O46" s="112">
        <f t="shared" si="5"/>
        <v>2686</v>
      </c>
      <c r="P46" s="112">
        <f t="shared" si="5"/>
        <v>482</v>
      </c>
      <c r="Q46" s="53">
        <f>30482-Q37</f>
        <v>27154</v>
      </c>
      <c r="R46" s="112">
        <f>Q46-R37</f>
        <v>25110</v>
      </c>
      <c r="S46" s="53"/>
      <c r="T46" s="112">
        <f>R46-T37</f>
        <v>18132</v>
      </c>
      <c r="U46" s="112">
        <f>T46-U37</f>
        <v>16418</v>
      </c>
      <c r="V46" s="112">
        <f>U46-V37</f>
        <v>13847</v>
      </c>
      <c r="W46" s="112">
        <f>V46-W37</f>
        <v>2995</v>
      </c>
      <c r="X46" s="77">
        <f>32995-X37</f>
        <v>25315</v>
      </c>
      <c r="Y46" s="77">
        <f>X46-Y37</f>
        <v>23075</v>
      </c>
      <c r="Z46" s="77"/>
      <c r="AA46" s="77">
        <f>Y46-AA37</f>
        <v>17476</v>
      </c>
      <c r="AB46" s="77">
        <f>AA46-AB37</f>
        <v>15690</v>
      </c>
      <c r="AC46" s="77">
        <f>AB46-AC37</f>
        <v>11452</v>
      </c>
      <c r="AD46" s="77">
        <f>AC46-AD37</f>
        <v>10406</v>
      </c>
      <c r="AE46" s="77">
        <f>AD46-AE37</f>
        <v>9385</v>
      </c>
      <c r="AF46" s="77">
        <f>AE46-AF37</f>
        <v>8885</v>
      </c>
      <c r="AG46" s="53"/>
      <c r="AH46" s="54"/>
    </row>
    <row r="47" spans="2:34" ht="21.75" thickBot="1" x14ac:dyDescent="0.55000000000000004">
      <c r="B47" s="23" t="s">
        <v>31</v>
      </c>
      <c r="C47" s="55">
        <f>(C38+C81+C82+C83)-C37</f>
        <v>1744</v>
      </c>
      <c r="D47" s="55">
        <f>(D38+D81+D82+D83)-D37</f>
        <v>210</v>
      </c>
      <c r="E47" s="55">
        <f t="shared" ref="E47:AG47" si="6">(E38+E81+E82+E83)-E37</f>
        <v>0</v>
      </c>
      <c r="F47" s="55">
        <f t="shared" si="6"/>
        <v>608</v>
      </c>
      <c r="G47" s="55">
        <f t="shared" si="6"/>
        <v>711</v>
      </c>
      <c r="H47" s="55">
        <f t="shared" si="6"/>
        <v>1731</v>
      </c>
      <c r="I47" s="55">
        <f t="shared" si="6"/>
        <v>770</v>
      </c>
      <c r="J47" s="55">
        <f t="shared" si="6"/>
        <v>250</v>
      </c>
      <c r="K47" s="55">
        <f t="shared" si="6"/>
        <v>1555</v>
      </c>
      <c r="L47" s="55">
        <f t="shared" si="6"/>
        <v>439</v>
      </c>
      <c r="M47" s="55">
        <f t="shared" si="6"/>
        <v>0</v>
      </c>
      <c r="N47" s="55">
        <f t="shared" si="6"/>
        <v>141</v>
      </c>
      <c r="O47" s="55">
        <f t="shared" si="6"/>
        <v>2602</v>
      </c>
      <c r="P47" s="55">
        <f t="shared" si="6"/>
        <v>655</v>
      </c>
      <c r="Q47" s="55">
        <f t="shared" si="6"/>
        <v>1758</v>
      </c>
      <c r="R47" s="55">
        <f t="shared" si="6"/>
        <v>435</v>
      </c>
      <c r="S47" s="55">
        <f t="shared" si="6"/>
        <v>0</v>
      </c>
      <c r="T47" s="55">
        <f t="shared" si="6"/>
        <v>1171</v>
      </c>
      <c r="U47" s="55">
        <f t="shared" si="6"/>
        <v>651</v>
      </c>
      <c r="V47" s="55">
        <f t="shared" si="6"/>
        <v>397</v>
      </c>
      <c r="W47" s="55">
        <f t="shared" si="6"/>
        <v>734</v>
      </c>
      <c r="X47" s="55">
        <f t="shared" si="6"/>
        <v>934</v>
      </c>
      <c r="Y47" s="55">
        <f t="shared" si="6"/>
        <v>719</v>
      </c>
      <c r="Z47" s="55">
        <f t="shared" si="6"/>
        <v>0</v>
      </c>
      <c r="AA47" s="55">
        <f t="shared" si="6"/>
        <v>426</v>
      </c>
      <c r="AB47" s="55">
        <f t="shared" si="6"/>
        <v>774</v>
      </c>
      <c r="AC47" s="55">
        <f t="shared" si="6"/>
        <v>1304</v>
      </c>
      <c r="AD47" s="55">
        <f t="shared" si="6"/>
        <v>404</v>
      </c>
      <c r="AE47" s="55">
        <f t="shared" si="6"/>
        <v>176</v>
      </c>
      <c r="AF47" s="55">
        <f t="shared" si="6"/>
        <v>127</v>
      </c>
      <c r="AG47" s="55">
        <f t="shared" si="6"/>
        <v>0</v>
      </c>
      <c r="AH47" s="56">
        <f>SUM(C47:AG47)</f>
        <v>21426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>
        <v>45536</v>
      </c>
      <c r="D49" s="71">
        <v>45537</v>
      </c>
      <c r="E49" s="71">
        <v>45538</v>
      </c>
      <c r="F49" s="71">
        <v>45539</v>
      </c>
      <c r="G49" s="71">
        <v>45540</v>
      </c>
      <c r="H49" s="71">
        <v>45541</v>
      </c>
      <c r="I49" s="71">
        <v>45542</v>
      </c>
      <c r="J49" s="71">
        <v>45543</v>
      </c>
      <c r="K49" s="71">
        <v>45544</v>
      </c>
      <c r="L49" s="71">
        <v>45545</v>
      </c>
      <c r="M49" s="71">
        <v>45546</v>
      </c>
      <c r="N49" s="71">
        <v>45547</v>
      </c>
      <c r="O49" s="71">
        <v>45548</v>
      </c>
      <c r="P49" s="71">
        <v>45549</v>
      </c>
      <c r="Q49" s="71">
        <v>45550</v>
      </c>
      <c r="R49" s="71">
        <v>45551</v>
      </c>
      <c r="S49" s="71">
        <v>45552</v>
      </c>
      <c r="T49" s="71">
        <v>45553</v>
      </c>
      <c r="U49" s="71">
        <v>45554</v>
      </c>
      <c r="V49" s="71">
        <v>45555</v>
      </c>
      <c r="W49" s="71">
        <v>45556</v>
      </c>
      <c r="X49" s="71">
        <v>45557</v>
      </c>
      <c r="Y49" s="71">
        <v>45558</v>
      </c>
      <c r="Z49" s="71">
        <v>45559</v>
      </c>
      <c r="AA49" s="71">
        <v>45560</v>
      </c>
      <c r="AB49" s="71">
        <v>45561</v>
      </c>
      <c r="AC49" s="71">
        <v>45562</v>
      </c>
      <c r="AD49" s="71">
        <v>45563</v>
      </c>
      <c r="AE49" s="71">
        <v>45564</v>
      </c>
      <c r="AF49" s="71">
        <v>45565</v>
      </c>
      <c r="AG49" s="71"/>
      <c r="AH49" s="72" t="s">
        <v>17</v>
      </c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 t="s">
        <v>36</v>
      </c>
      <c r="X50" s="69"/>
      <c r="Y50" s="69"/>
      <c r="Z50" s="69" t="s">
        <v>39</v>
      </c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>
        <v>290</v>
      </c>
      <c r="X56" s="2"/>
      <c r="Y56" s="2"/>
      <c r="Z56" s="89">
        <v>1263</v>
      </c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hidden="1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 t="s">
        <v>49</v>
      </c>
      <c r="AG59" s="69"/>
      <c r="AH59" s="118"/>
    </row>
    <row r="60" spans="2:34" hidden="1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hidden="1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hidden="1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hidden="1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hidden="1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hidden="1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hidden="1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hidden="1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hidden="1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>
        <v>6510</v>
      </c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79886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2380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21426</v>
      </c>
    </row>
    <row r="74" spans="2:34" ht="24" customHeight="1" x14ac:dyDescent="0.5">
      <c r="B74" s="19" t="s">
        <v>3</v>
      </c>
      <c r="C74" s="21">
        <f>SUM(C38:AG38)</f>
        <v>24159</v>
      </c>
    </row>
    <row r="75" spans="2:34" ht="24" customHeight="1" x14ac:dyDescent="0.5">
      <c r="B75" s="19" t="s">
        <v>4</v>
      </c>
      <c r="C75" s="21">
        <f>SUM(C37:AG37)</f>
        <v>97789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>
        <v>1580</v>
      </c>
      <c r="D81" s="2"/>
      <c r="E81" s="2"/>
      <c r="F81" s="2"/>
      <c r="G81" s="2">
        <v>420</v>
      </c>
      <c r="H81" s="2"/>
      <c r="I81" s="2"/>
      <c r="J81" s="2"/>
      <c r="K81" s="2">
        <v>760</v>
      </c>
      <c r="L81" s="2">
        <v>390</v>
      </c>
      <c r="M81" s="2"/>
      <c r="N81" s="2">
        <v>850</v>
      </c>
      <c r="O81" s="2"/>
      <c r="P81" s="2"/>
      <c r="Q81" s="2">
        <v>334</v>
      </c>
      <c r="R81" s="2">
        <v>80</v>
      </c>
      <c r="S81" s="2"/>
      <c r="T81" s="2">
        <v>440</v>
      </c>
      <c r="U81" s="2"/>
      <c r="V81" s="2"/>
      <c r="W81" s="81">
        <v>154</v>
      </c>
      <c r="X81" s="89">
        <v>1911</v>
      </c>
      <c r="Y81" s="2">
        <v>1029</v>
      </c>
      <c r="Z81" s="89"/>
      <c r="AA81" s="2"/>
      <c r="AB81" s="2">
        <v>730</v>
      </c>
      <c r="AC81" s="2"/>
      <c r="AD81" s="2"/>
      <c r="AE81" s="2"/>
      <c r="AF81" s="2">
        <v>70</v>
      </c>
      <c r="AG81" s="2"/>
    </row>
    <row r="82" spans="2:33" x14ac:dyDescent="0.5">
      <c r="B82" s="19" t="s">
        <v>35</v>
      </c>
      <c r="C82" s="2">
        <v>584</v>
      </c>
      <c r="D82" s="2">
        <v>500</v>
      </c>
      <c r="E82" s="2"/>
      <c r="F82" s="2"/>
      <c r="G82" s="89">
        <v>1520</v>
      </c>
      <c r="H82" s="2">
        <v>550</v>
      </c>
      <c r="I82" s="2"/>
      <c r="J82" s="2"/>
      <c r="K82" s="89">
        <v>2624</v>
      </c>
      <c r="L82" s="2"/>
      <c r="M82" s="2"/>
      <c r="N82" s="2">
        <v>55</v>
      </c>
      <c r="O82" s="2"/>
      <c r="P82" s="2"/>
      <c r="Q82" s="2">
        <v>55</v>
      </c>
      <c r="R82" s="2"/>
      <c r="S82" s="2"/>
      <c r="T82" s="2">
        <v>2842</v>
      </c>
      <c r="U82" s="2"/>
      <c r="V82" s="2">
        <v>32</v>
      </c>
      <c r="W82" s="89">
        <v>6622</v>
      </c>
      <c r="X82" s="2">
        <v>59</v>
      </c>
      <c r="Y82" s="2"/>
      <c r="Z82" s="2"/>
      <c r="AA82" s="2">
        <v>82</v>
      </c>
      <c r="AB82" s="2">
        <v>64</v>
      </c>
      <c r="AC82" s="2">
        <v>45</v>
      </c>
      <c r="AD82" s="2">
        <v>450</v>
      </c>
      <c r="AE82" s="2"/>
      <c r="AF82" s="89"/>
      <c r="AG82" s="2"/>
    </row>
    <row r="83" spans="2:33" x14ac:dyDescent="0.5">
      <c r="B83" s="90" t="s">
        <v>41</v>
      </c>
      <c r="C83" s="94">
        <v>4123</v>
      </c>
      <c r="D83" s="91">
        <v>232</v>
      </c>
      <c r="E83" s="91"/>
      <c r="F83" s="94">
        <v>2261</v>
      </c>
      <c r="G83" s="94">
        <v>1694</v>
      </c>
      <c r="H83" s="94">
        <v>9493</v>
      </c>
      <c r="I83" s="94">
        <v>1803</v>
      </c>
      <c r="J83" s="94">
        <v>1409</v>
      </c>
      <c r="K83" s="94">
        <v>7602</v>
      </c>
      <c r="L83" s="91">
        <v>925</v>
      </c>
      <c r="M83" s="91"/>
      <c r="N83" s="91">
        <v>475</v>
      </c>
      <c r="O83" s="94">
        <v>6050</v>
      </c>
      <c r="P83" s="94">
        <v>1575</v>
      </c>
      <c r="Q83" s="94">
        <v>4620</v>
      </c>
      <c r="R83" s="94">
        <v>1496</v>
      </c>
      <c r="S83" s="91"/>
      <c r="T83" s="91">
        <v>4867</v>
      </c>
      <c r="U83" s="94">
        <v>2125</v>
      </c>
      <c r="V83" s="91">
        <v>789</v>
      </c>
      <c r="W83" s="91">
        <v>695</v>
      </c>
      <c r="X83" s="94">
        <v>6644</v>
      </c>
      <c r="Y83" s="91">
        <v>985</v>
      </c>
      <c r="Z83" s="91"/>
      <c r="AA83" s="91">
        <v>615</v>
      </c>
      <c r="AB83" s="91">
        <v>1766</v>
      </c>
      <c r="AC83" s="94">
        <v>5417</v>
      </c>
      <c r="AD83" s="91">
        <v>1000</v>
      </c>
      <c r="AE83" s="91">
        <v>1021</v>
      </c>
      <c r="AF83" s="91">
        <v>542</v>
      </c>
      <c r="AG83" s="91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AH83"/>
  <sheetViews>
    <sheetView topLeftCell="A2" workbookViewId="0">
      <pane xSplit="2" ySplit="3" topLeftCell="AC43" activePane="bottomRight" state="frozen"/>
      <selection activeCell="A2" sqref="A2"/>
      <selection pane="topRight" activeCell="C2" sqref="C2"/>
      <selection pane="bottomLeft" activeCell="A5" sqref="A5"/>
      <selection pane="bottomRight" activeCell="AF38" sqref="AF38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45658</v>
      </c>
      <c r="D4" s="27">
        <v>45659</v>
      </c>
      <c r="E4" s="27">
        <v>45660</v>
      </c>
      <c r="F4" s="27">
        <v>45661</v>
      </c>
      <c r="G4" s="27">
        <v>45662</v>
      </c>
      <c r="H4" s="27">
        <v>45663</v>
      </c>
      <c r="I4" s="27">
        <v>45664</v>
      </c>
      <c r="J4" s="27">
        <v>45665</v>
      </c>
      <c r="K4" s="27">
        <v>45666</v>
      </c>
      <c r="L4" s="27">
        <v>45667</v>
      </c>
      <c r="M4" s="27">
        <v>45668</v>
      </c>
      <c r="N4" s="27">
        <v>45669</v>
      </c>
      <c r="O4" s="27">
        <v>45670</v>
      </c>
      <c r="P4" s="27">
        <v>45671</v>
      </c>
      <c r="Q4" s="27">
        <v>45672</v>
      </c>
      <c r="R4" s="27">
        <v>45673</v>
      </c>
      <c r="S4" s="27">
        <v>45674</v>
      </c>
      <c r="T4" s="27">
        <v>45675</v>
      </c>
      <c r="U4" s="27">
        <v>45676</v>
      </c>
      <c r="V4" s="27">
        <v>45677</v>
      </c>
      <c r="W4" s="27">
        <v>45678</v>
      </c>
      <c r="X4" s="27">
        <v>45679</v>
      </c>
      <c r="Y4" s="27">
        <v>45680</v>
      </c>
      <c r="Z4" s="27">
        <v>45681</v>
      </c>
      <c r="AA4" s="27">
        <v>45682</v>
      </c>
      <c r="AB4" s="27">
        <v>45683</v>
      </c>
      <c r="AC4" s="27">
        <v>45684</v>
      </c>
      <c r="AD4" s="27">
        <v>45685</v>
      </c>
      <c r="AE4" s="27">
        <v>45686</v>
      </c>
      <c r="AF4" s="27">
        <v>45687</v>
      </c>
      <c r="AG4" s="27">
        <v>45688</v>
      </c>
      <c r="AH4" s="26" t="s">
        <v>12</v>
      </c>
    </row>
    <row r="5" spans="1:34" ht="21.75" thickBot="1" x14ac:dyDescent="0.55000000000000004">
      <c r="B5" s="58" t="s">
        <v>0</v>
      </c>
      <c r="C5" s="28">
        <f>C15</f>
        <v>880</v>
      </c>
      <c r="D5" s="28">
        <f t="shared" ref="D5:AG5" si="0">D15</f>
        <v>6268</v>
      </c>
      <c r="E5" s="28">
        <f t="shared" si="0"/>
        <v>2780</v>
      </c>
      <c r="F5" s="28">
        <f t="shared" si="0"/>
        <v>230</v>
      </c>
      <c r="G5" s="28">
        <f t="shared" si="0"/>
        <v>2266</v>
      </c>
      <c r="H5" s="28">
        <f t="shared" si="0"/>
        <v>2049</v>
      </c>
      <c r="I5" s="28">
        <f t="shared" si="0"/>
        <v>0</v>
      </c>
      <c r="J5" s="28">
        <f t="shared" si="0"/>
        <v>150</v>
      </c>
      <c r="K5" s="28">
        <f t="shared" si="0"/>
        <v>5022</v>
      </c>
      <c r="L5" s="28">
        <f t="shared" si="0"/>
        <v>234</v>
      </c>
      <c r="M5" s="28">
        <f t="shared" si="0"/>
        <v>3282</v>
      </c>
      <c r="N5" s="28">
        <f t="shared" si="0"/>
        <v>125</v>
      </c>
      <c r="O5" s="28">
        <f t="shared" si="0"/>
        <v>1515</v>
      </c>
      <c r="P5" s="28">
        <f t="shared" si="0"/>
        <v>0</v>
      </c>
      <c r="Q5" s="28">
        <f t="shared" si="0"/>
        <v>50</v>
      </c>
      <c r="R5" s="28">
        <f t="shared" si="0"/>
        <v>117</v>
      </c>
      <c r="S5" s="28">
        <f t="shared" si="0"/>
        <v>2337</v>
      </c>
      <c r="T5" s="28">
        <f t="shared" si="0"/>
        <v>1738</v>
      </c>
      <c r="U5" s="28">
        <f t="shared" si="0"/>
        <v>0</v>
      </c>
      <c r="V5" s="28">
        <f t="shared" si="0"/>
        <v>196</v>
      </c>
      <c r="W5" s="28">
        <f t="shared" si="0"/>
        <v>0</v>
      </c>
      <c r="X5" s="28">
        <f t="shared" si="0"/>
        <v>2939</v>
      </c>
      <c r="Y5" s="28">
        <f t="shared" si="0"/>
        <v>6072</v>
      </c>
      <c r="Z5" s="28">
        <f t="shared" si="0"/>
        <v>174</v>
      </c>
      <c r="AA5" s="28">
        <f t="shared" si="0"/>
        <v>353</v>
      </c>
      <c r="AB5" s="28">
        <f t="shared" si="0"/>
        <v>2131</v>
      </c>
      <c r="AC5" s="28">
        <f t="shared" si="0"/>
        <v>545</v>
      </c>
      <c r="AD5" s="28">
        <f t="shared" si="0"/>
        <v>0</v>
      </c>
      <c r="AE5" s="28">
        <f t="shared" si="0"/>
        <v>226</v>
      </c>
      <c r="AF5" s="28">
        <f t="shared" si="0"/>
        <v>50</v>
      </c>
      <c r="AG5" s="28">
        <f t="shared" si="0"/>
        <v>0</v>
      </c>
      <c r="AH5" s="29">
        <f>SUM(C5:AG5)</f>
        <v>41729</v>
      </c>
    </row>
    <row r="6" spans="1:34" x14ac:dyDescent="0.5">
      <c r="B6" s="122"/>
      <c r="C6" s="83" t="s">
        <v>154</v>
      </c>
      <c r="D6" s="83" t="s">
        <v>157</v>
      </c>
      <c r="E6" s="83" t="s">
        <v>161</v>
      </c>
      <c r="F6" s="83" t="s">
        <v>162</v>
      </c>
      <c r="G6" s="83" t="s">
        <v>163</v>
      </c>
      <c r="H6" s="83" t="s">
        <v>167</v>
      </c>
      <c r="I6" s="83"/>
      <c r="J6" s="83" t="s">
        <v>169</v>
      </c>
      <c r="K6" s="83" t="s">
        <v>170</v>
      </c>
      <c r="L6" s="83" t="s">
        <v>173</v>
      </c>
      <c r="M6" s="83" t="s">
        <v>176</v>
      </c>
      <c r="N6" s="83" t="s">
        <v>177</v>
      </c>
      <c r="O6" s="83" t="s">
        <v>179</v>
      </c>
      <c r="P6" s="83"/>
      <c r="Q6" s="83" t="s">
        <v>180</v>
      </c>
      <c r="R6" s="83" t="s">
        <v>181</v>
      </c>
      <c r="S6" s="83" t="s">
        <v>183</v>
      </c>
      <c r="T6" s="83" t="s">
        <v>185</v>
      </c>
      <c r="U6" s="83"/>
      <c r="V6" s="83" t="s">
        <v>188</v>
      </c>
      <c r="W6" s="83"/>
      <c r="X6" s="83" t="s">
        <v>190</v>
      </c>
      <c r="Y6" s="83" t="s">
        <v>194</v>
      </c>
      <c r="Z6" s="83" t="s">
        <v>198</v>
      </c>
      <c r="AA6" s="83" t="s">
        <v>199</v>
      </c>
      <c r="AB6" s="83" t="s">
        <v>201</v>
      </c>
      <c r="AC6" s="83" t="s">
        <v>205</v>
      </c>
      <c r="AD6" s="83"/>
      <c r="AE6" s="83" t="s">
        <v>206</v>
      </c>
      <c r="AF6" s="83" t="s">
        <v>208</v>
      </c>
      <c r="AG6" s="83"/>
      <c r="AH6" s="123"/>
    </row>
    <row r="7" spans="1:34" x14ac:dyDescent="0.5">
      <c r="B7" s="122"/>
      <c r="C7" s="84" t="s">
        <v>155</v>
      </c>
      <c r="D7" s="84" t="s">
        <v>158</v>
      </c>
      <c r="E7" s="84" t="s">
        <v>159</v>
      </c>
      <c r="F7" s="84"/>
      <c r="G7" s="84" t="s">
        <v>164</v>
      </c>
      <c r="H7" s="84" t="s">
        <v>168</v>
      </c>
      <c r="I7" s="84"/>
      <c r="J7" s="84"/>
      <c r="K7" s="84" t="s">
        <v>171</v>
      </c>
      <c r="L7" s="84"/>
      <c r="M7" s="84" t="s">
        <v>174</v>
      </c>
      <c r="N7" s="84" t="s">
        <v>178</v>
      </c>
      <c r="O7" s="84"/>
      <c r="P7" s="84"/>
      <c r="Q7" s="84"/>
      <c r="R7" s="84" t="s">
        <v>182</v>
      </c>
      <c r="S7" s="84" t="s">
        <v>184</v>
      </c>
      <c r="T7" s="84" t="s">
        <v>186</v>
      </c>
      <c r="U7" s="84"/>
      <c r="V7" s="84" t="s">
        <v>189</v>
      </c>
      <c r="W7" s="84"/>
      <c r="X7" s="84" t="s">
        <v>191</v>
      </c>
      <c r="Y7" s="84" t="s">
        <v>195</v>
      </c>
      <c r="Z7" s="84"/>
      <c r="AA7" s="84" t="s">
        <v>200</v>
      </c>
      <c r="AB7" s="84" t="s">
        <v>202</v>
      </c>
      <c r="AC7" s="84"/>
      <c r="AD7" s="84"/>
      <c r="AE7" s="84" t="s">
        <v>207</v>
      </c>
      <c r="AF7" s="84"/>
      <c r="AG7" s="84"/>
      <c r="AH7" s="123"/>
    </row>
    <row r="8" spans="1:34" x14ac:dyDescent="0.5">
      <c r="B8" s="122"/>
      <c r="C8" s="84" t="s">
        <v>156</v>
      </c>
      <c r="D8" s="84"/>
      <c r="E8" s="84" t="s">
        <v>160</v>
      </c>
      <c r="F8" s="84"/>
      <c r="G8" s="84" t="s">
        <v>165</v>
      </c>
      <c r="H8" s="84"/>
      <c r="I8" s="84"/>
      <c r="J8" s="84"/>
      <c r="K8" s="84" t="s">
        <v>172</v>
      </c>
      <c r="L8" s="84"/>
      <c r="M8" s="84" t="s">
        <v>175</v>
      </c>
      <c r="N8" s="84"/>
      <c r="O8" s="84"/>
      <c r="P8" s="84"/>
      <c r="Q8" s="84"/>
      <c r="R8" s="84"/>
      <c r="S8" s="84"/>
      <c r="T8" s="84" t="s">
        <v>187</v>
      </c>
      <c r="U8" s="84"/>
      <c r="V8" s="84"/>
      <c r="W8" s="84"/>
      <c r="X8" s="84" t="s">
        <v>192</v>
      </c>
      <c r="Y8" s="84" t="s">
        <v>196</v>
      </c>
      <c r="Z8" s="84"/>
      <c r="AA8" s="84"/>
      <c r="AB8" s="84" t="s">
        <v>203</v>
      </c>
      <c r="AC8" s="84"/>
      <c r="AD8" s="84"/>
      <c r="AE8" s="84"/>
      <c r="AF8" s="84"/>
      <c r="AG8" s="84"/>
      <c r="AH8" s="123"/>
    </row>
    <row r="9" spans="1:34" x14ac:dyDescent="0.5">
      <c r="B9" s="122"/>
      <c r="C9" s="84"/>
      <c r="D9" s="84"/>
      <c r="E9" s="84"/>
      <c r="F9" s="84"/>
      <c r="G9" s="84" t="s">
        <v>166</v>
      </c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 t="s">
        <v>193</v>
      </c>
      <c r="Y9" s="84" t="s">
        <v>197</v>
      </c>
      <c r="Z9" s="84"/>
      <c r="AA9" s="84"/>
      <c r="AB9" s="84" t="s">
        <v>204</v>
      </c>
      <c r="AC9" s="84"/>
      <c r="AD9" s="84"/>
      <c r="AE9" s="84"/>
      <c r="AF9" s="84"/>
      <c r="AG9" s="84"/>
      <c r="AH9" s="123"/>
    </row>
    <row r="10" spans="1:34" x14ac:dyDescent="0.5">
      <c r="B10" s="122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123"/>
    </row>
    <row r="11" spans="1:34" x14ac:dyDescent="0.5">
      <c r="B11" s="122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880</v>
      </c>
      <c r="D15" s="31">
        <f t="shared" ref="D15:AG15" si="1">SUM(D16:D22)</f>
        <v>6268</v>
      </c>
      <c r="E15" s="31">
        <f t="shared" si="1"/>
        <v>2780</v>
      </c>
      <c r="F15" s="31">
        <f t="shared" si="1"/>
        <v>230</v>
      </c>
      <c r="G15" s="31">
        <f t="shared" si="1"/>
        <v>2266</v>
      </c>
      <c r="H15" s="31">
        <f t="shared" si="1"/>
        <v>2049</v>
      </c>
      <c r="I15" s="31">
        <f t="shared" si="1"/>
        <v>0</v>
      </c>
      <c r="J15" s="31">
        <f t="shared" si="1"/>
        <v>150</v>
      </c>
      <c r="K15" s="31">
        <f t="shared" si="1"/>
        <v>5022</v>
      </c>
      <c r="L15" s="31">
        <f t="shared" si="1"/>
        <v>234</v>
      </c>
      <c r="M15" s="31">
        <f t="shared" si="1"/>
        <v>3282</v>
      </c>
      <c r="N15" s="31">
        <f t="shared" si="1"/>
        <v>125</v>
      </c>
      <c r="O15" s="31">
        <f t="shared" si="1"/>
        <v>1515</v>
      </c>
      <c r="P15" s="31">
        <f t="shared" si="1"/>
        <v>0</v>
      </c>
      <c r="Q15" s="31">
        <f t="shared" si="1"/>
        <v>50</v>
      </c>
      <c r="R15" s="31">
        <f t="shared" si="1"/>
        <v>117</v>
      </c>
      <c r="S15" s="31">
        <f t="shared" si="1"/>
        <v>2337</v>
      </c>
      <c r="T15" s="31">
        <f t="shared" si="1"/>
        <v>1738</v>
      </c>
      <c r="U15" s="31">
        <f t="shared" si="1"/>
        <v>0</v>
      </c>
      <c r="V15" s="31">
        <f t="shared" si="1"/>
        <v>196</v>
      </c>
      <c r="W15" s="31">
        <f t="shared" si="1"/>
        <v>0</v>
      </c>
      <c r="X15" s="31">
        <f t="shared" si="1"/>
        <v>2939</v>
      </c>
      <c r="Y15" s="31">
        <f t="shared" si="1"/>
        <v>6072</v>
      </c>
      <c r="Z15" s="31">
        <f t="shared" si="1"/>
        <v>174</v>
      </c>
      <c r="AA15" s="31">
        <f t="shared" si="1"/>
        <v>353</v>
      </c>
      <c r="AB15" s="31">
        <f t="shared" si="1"/>
        <v>2131</v>
      </c>
      <c r="AC15" s="31">
        <f t="shared" si="1"/>
        <v>545</v>
      </c>
      <c r="AD15" s="31">
        <f t="shared" si="1"/>
        <v>0</v>
      </c>
      <c r="AE15" s="31">
        <f t="shared" si="1"/>
        <v>226</v>
      </c>
      <c r="AF15" s="31">
        <f t="shared" si="1"/>
        <v>50</v>
      </c>
      <c r="AG15" s="31">
        <f t="shared" si="1"/>
        <v>0</v>
      </c>
      <c r="AH15" s="32">
        <f>SUM(C15:AG15)</f>
        <v>41729</v>
      </c>
    </row>
    <row r="16" spans="1:34" x14ac:dyDescent="0.5">
      <c r="B16" s="60" t="s">
        <v>18</v>
      </c>
      <c r="C16" s="30"/>
      <c r="D16" s="30"/>
      <c r="E16" s="30"/>
      <c r="F16" s="30"/>
      <c r="G16" s="30">
        <v>1280</v>
      </c>
      <c r="H16" s="30">
        <v>214</v>
      </c>
      <c r="I16" s="30"/>
      <c r="J16" s="30"/>
      <c r="K16" s="30">
        <v>302</v>
      </c>
      <c r="L16" s="30">
        <v>234</v>
      </c>
      <c r="M16" s="30"/>
      <c r="N16" s="30"/>
      <c r="O16" s="30">
        <v>1515</v>
      </c>
      <c r="P16" s="30"/>
      <c r="Q16" s="30">
        <v>50</v>
      </c>
      <c r="R16" s="30">
        <v>117</v>
      </c>
      <c r="S16" s="30">
        <v>1565</v>
      </c>
      <c r="T16" s="30">
        <v>88</v>
      </c>
      <c r="U16" s="30"/>
      <c r="V16" s="30">
        <v>159</v>
      </c>
      <c r="W16" s="30"/>
      <c r="X16" s="30">
        <v>114</v>
      </c>
      <c r="Y16" s="30"/>
      <c r="Z16" s="30">
        <v>174</v>
      </c>
      <c r="AA16" s="30">
        <v>353</v>
      </c>
      <c r="AB16" s="30"/>
      <c r="AC16" s="30"/>
      <c r="AD16" s="30"/>
      <c r="AE16" s="30"/>
      <c r="AF16" s="30"/>
      <c r="AG16" s="30"/>
      <c r="AH16" s="10"/>
    </row>
    <row r="17" spans="2:34" x14ac:dyDescent="0.5">
      <c r="B17" s="61" t="s">
        <v>19</v>
      </c>
      <c r="C17" s="22"/>
      <c r="D17" s="22"/>
      <c r="E17" s="22"/>
      <c r="F17" s="22"/>
      <c r="G17" s="22"/>
      <c r="H17" s="22"/>
      <c r="I17" s="22"/>
      <c r="J17" s="22"/>
      <c r="K17" s="22">
        <v>4515</v>
      </c>
      <c r="L17" s="22"/>
      <c r="M17" s="22">
        <v>3000</v>
      </c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>
        <v>4977</v>
      </c>
      <c r="Z17" s="22"/>
      <c r="AA17" s="22"/>
      <c r="AB17" s="22"/>
      <c r="AC17" s="22"/>
      <c r="AD17" s="22"/>
      <c r="AE17" s="22"/>
      <c r="AF17" s="22"/>
      <c r="AG17" s="22"/>
      <c r="AH17" s="10"/>
    </row>
    <row r="18" spans="2:34" x14ac:dyDescent="0.5">
      <c r="B18" s="61" t="s">
        <v>20</v>
      </c>
      <c r="C18" s="22">
        <v>105</v>
      </c>
      <c r="D18" s="22"/>
      <c r="E18" s="22">
        <v>2780</v>
      </c>
      <c r="F18" s="22">
        <v>230</v>
      </c>
      <c r="G18" s="22">
        <v>766</v>
      </c>
      <c r="H18" s="22">
        <v>1835</v>
      </c>
      <c r="I18" s="22"/>
      <c r="J18" s="22">
        <v>150</v>
      </c>
      <c r="K18" s="22"/>
      <c r="L18" s="22"/>
      <c r="M18" s="22">
        <v>282</v>
      </c>
      <c r="N18" s="22">
        <v>60</v>
      </c>
      <c r="O18" s="22"/>
      <c r="P18" s="22"/>
      <c r="Q18" s="22"/>
      <c r="R18" s="22"/>
      <c r="S18" s="22">
        <v>772</v>
      </c>
      <c r="T18" s="22">
        <v>1150</v>
      </c>
      <c r="U18" s="22"/>
      <c r="V18" s="22">
        <v>37</v>
      </c>
      <c r="W18" s="22"/>
      <c r="X18" s="22">
        <v>2825</v>
      </c>
      <c r="Y18" s="22">
        <v>1095</v>
      </c>
      <c r="Z18" s="22"/>
      <c r="AA18" s="22"/>
      <c r="AB18" s="22">
        <v>1461</v>
      </c>
      <c r="AC18" s="22"/>
      <c r="AD18" s="22"/>
      <c r="AE18" s="22">
        <v>100</v>
      </c>
      <c r="AF18" s="22">
        <v>50</v>
      </c>
      <c r="AG18" s="22"/>
      <c r="AH18" s="10"/>
    </row>
    <row r="19" spans="2:34" x14ac:dyDescent="0.5">
      <c r="B19" s="61" t="s">
        <v>21</v>
      </c>
      <c r="C19" s="22"/>
      <c r="D19" s="22">
        <v>6100</v>
      </c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22</v>
      </c>
      <c r="C20" s="22">
        <v>505</v>
      </c>
      <c r="D20" s="22">
        <v>168</v>
      </c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>
        <v>500</v>
      </c>
      <c r="U20" s="22"/>
      <c r="V20" s="22"/>
      <c r="W20" s="22"/>
      <c r="X20" s="22"/>
      <c r="Y20" s="22"/>
      <c r="Z20" s="22"/>
      <c r="AA20" s="22"/>
      <c r="AB20" s="22">
        <v>670</v>
      </c>
      <c r="AC20" s="22">
        <v>545</v>
      </c>
      <c r="AD20" s="22"/>
      <c r="AE20" s="22"/>
      <c r="AF20" s="22"/>
      <c r="AG20" s="22"/>
      <c r="AH20" s="10"/>
    </row>
    <row r="21" spans="2:34" x14ac:dyDescent="0.5">
      <c r="B21" s="61" t="s">
        <v>32</v>
      </c>
      <c r="C21" s="22">
        <v>270</v>
      </c>
      <c r="D21" s="22"/>
      <c r="E21" s="22"/>
      <c r="F21" s="22"/>
      <c r="G21" s="22">
        <v>220</v>
      </c>
      <c r="H21" s="22"/>
      <c r="I21" s="22"/>
      <c r="J21" s="22"/>
      <c r="K21" s="22">
        <v>205</v>
      </c>
      <c r="L21" s="22"/>
      <c r="M21" s="22"/>
      <c r="N21" s="22">
        <v>65</v>
      </c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10"/>
    </row>
    <row r="22" spans="2:34" ht="21.75" thickBot="1" x14ac:dyDescent="0.55000000000000004">
      <c r="B22" s="62" t="s">
        <v>33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>
        <v>126</v>
      </c>
      <c r="AF22" s="33"/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181</v>
      </c>
      <c r="D23" s="37">
        <f t="shared" ref="D23:AG23" si="2">SUM(D24:D36)</f>
        <v>215</v>
      </c>
      <c r="E23" s="37">
        <f t="shared" si="2"/>
        <v>20</v>
      </c>
      <c r="F23" s="37">
        <f t="shared" si="2"/>
        <v>34</v>
      </c>
      <c r="G23" s="37">
        <f t="shared" si="2"/>
        <v>90</v>
      </c>
      <c r="H23" s="37">
        <f t="shared" si="2"/>
        <v>5</v>
      </c>
      <c r="I23" s="37">
        <f t="shared" si="2"/>
        <v>0</v>
      </c>
      <c r="J23" s="37">
        <f t="shared" si="2"/>
        <v>75</v>
      </c>
      <c r="K23" s="37">
        <f t="shared" si="2"/>
        <v>5</v>
      </c>
      <c r="L23" s="37">
        <f t="shared" si="2"/>
        <v>62</v>
      </c>
      <c r="M23" s="37">
        <f t="shared" si="2"/>
        <v>101</v>
      </c>
      <c r="N23" s="37">
        <f t="shared" si="2"/>
        <v>5</v>
      </c>
      <c r="O23" s="37">
        <f t="shared" si="2"/>
        <v>290</v>
      </c>
      <c r="P23" s="37">
        <f t="shared" si="2"/>
        <v>0</v>
      </c>
      <c r="Q23" s="37">
        <f t="shared" si="2"/>
        <v>5</v>
      </c>
      <c r="R23" s="37">
        <f t="shared" si="2"/>
        <v>0</v>
      </c>
      <c r="S23" s="37">
        <f t="shared" si="2"/>
        <v>105</v>
      </c>
      <c r="T23" s="37">
        <f t="shared" si="2"/>
        <v>54</v>
      </c>
      <c r="U23" s="37">
        <f t="shared" si="2"/>
        <v>85</v>
      </c>
      <c r="V23" s="37">
        <f t="shared" si="2"/>
        <v>250</v>
      </c>
      <c r="W23" s="37">
        <f t="shared" si="2"/>
        <v>0</v>
      </c>
      <c r="X23" s="37">
        <f t="shared" si="2"/>
        <v>85</v>
      </c>
      <c r="Y23" s="37">
        <f t="shared" si="2"/>
        <v>162</v>
      </c>
      <c r="Z23" s="37">
        <f t="shared" si="2"/>
        <v>5</v>
      </c>
      <c r="AA23" s="37">
        <f t="shared" si="2"/>
        <v>0</v>
      </c>
      <c r="AB23" s="37">
        <f t="shared" si="2"/>
        <v>175</v>
      </c>
      <c r="AC23" s="37">
        <f t="shared" si="2"/>
        <v>172</v>
      </c>
      <c r="AD23" s="37">
        <f t="shared" si="2"/>
        <v>0</v>
      </c>
      <c r="AE23" s="37">
        <f t="shared" si="2"/>
        <v>160</v>
      </c>
      <c r="AF23" s="37">
        <f t="shared" si="2"/>
        <v>95</v>
      </c>
      <c r="AG23" s="37">
        <f t="shared" si="2"/>
        <v>0</v>
      </c>
      <c r="AH23" s="38">
        <f>SUM(C23:AG23)</f>
        <v>2436</v>
      </c>
    </row>
    <row r="24" spans="2:34" x14ac:dyDescent="0.5">
      <c r="B24" s="35" t="s">
        <v>24</v>
      </c>
      <c r="C24" s="36">
        <v>5</v>
      </c>
      <c r="D24" s="36">
        <v>5</v>
      </c>
      <c r="E24" s="36"/>
      <c r="F24" s="36"/>
      <c r="G24" s="36"/>
      <c r="H24" s="36">
        <v>5</v>
      </c>
      <c r="I24" s="36"/>
      <c r="J24" s="36"/>
      <c r="K24" s="36">
        <v>5</v>
      </c>
      <c r="L24" s="36">
        <v>5</v>
      </c>
      <c r="M24" s="36"/>
      <c r="N24" s="36">
        <v>5</v>
      </c>
      <c r="O24" s="36">
        <v>80</v>
      </c>
      <c r="P24" s="36"/>
      <c r="Q24" s="36">
        <v>5</v>
      </c>
      <c r="R24" s="36"/>
      <c r="S24" s="36">
        <v>5</v>
      </c>
      <c r="T24" s="36">
        <v>5</v>
      </c>
      <c r="U24" s="36">
        <v>50</v>
      </c>
      <c r="V24" s="36">
        <v>5</v>
      </c>
      <c r="W24" s="36"/>
      <c r="X24" s="36">
        <v>15</v>
      </c>
      <c r="Y24" s="36">
        <v>5</v>
      </c>
      <c r="Z24" s="36">
        <v>5</v>
      </c>
      <c r="AA24" s="36"/>
      <c r="AB24" s="36">
        <v>5</v>
      </c>
      <c r="AC24" s="36">
        <v>5</v>
      </c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>
        <v>70</v>
      </c>
      <c r="E25" s="8"/>
      <c r="F25" s="8">
        <v>34</v>
      </c>
      <c r="G25" s="8"/>
      <c r="H25" s="8"/>
      <c r="I25" s="8"/>
      <c r="J25" s="8">
        <v>30</v>
      </c>
      <c r="K25" s="8"/>
      <c r="L25" s="8"/>
      <c r="M25" s="8">
        <v>50</v>
      </c>
      <c r="N25" s="8"/>
      <c r="O25" s="8">
        <v>50</v>
      </c>
      <c r="P25" s="8"/>
      <c r="Q25" s="8"/>
      <c r="R25" s="8"/>
      <c r="S25" s="8"/>
      <c r="T25" s="8">
        <v>5</v>
      </c>
      <c r="U25" s="8">
        <v>35</v>
      </c>
      <c r="V25" s="8">
        <v>50</v>
      </c>
      <c r="W25" s="8"/>
      <c r="X25" s="8"/>
      <c r="Y25" s="8"/>
      <c r="Z25" s="8"/>
      <c r="AA25" s="8"/>
      <c r="AB25" s="8">
        <v>50</v>
      </c>
      <c r="AC25" s="8">
        <v>50</v>
      </c>
      <c r="AD25" s="8"/>
      <c r="AE25" s="8"/>
      <c r="AF25" s="8"/>
      <c r="AG25" s="8"/>
      <c r="AH25" s="6"/>
    </row>
    <row r="26" spans="2:34" x14ac:dyDescent="0.5">
      <c r="B26" s="11" t="s">
        <v>26</v>
      </c>
      <c r="C26" s="8">
        <v>20</v>
      </c>
      <c r="D26" s="8">
        <v>40</v>
      </c>
      <c r="E26" s="8"/>
      <c r="F26" s="8"/>
      <c r="G26" s="8">
        <v>70</v>
      </c>
      <c r="H26" s="8"/>
      <c r="I26" s="8"/>
      <c r="J26" s="8">
        <v>40</v>
      </c>
      <c r="K26" s="8"/>
      <c r="L26" s="8">
        <v>57</v>
      </c>
      <c r="M26" s="8"/>
      <c r="N26" s="8"/>
      <c r="O26" s="8">
        <v>160</v>
      </c>
      <c r="P26" s="8"/>
      <c r="Q26" s="8"/>
      <c r="R26" s="8"/>
      <c r="S26" s="8"/>
      <c r="T26" s="8"/>
      <c r="U26" s="8"/>
      <c r="V26" s="8">
        <v>35</v>
      </c>
      <c r="W26" s="8"/>
      <c r="X26" s="8"/>
      <c r="Y26" s="8">
        <v>75</v>
      </c>
      <c r="Z26" s="8"/>
      <c r="AA26" s="8"/>
      <c r="AB26" s="8">
        <v>45</v>
      </c>
      <c r="AC26" s="8"/>
      <c r="AD26" s="8"/>
      <c r="AE26" s="8"/>
      <c r="AF26" s="8">
        <v>55</v>
      </c>
      <c r="AG26" s="8"/>
      <c r="AH26" s="6"/>
    </row>
    <row r="27" spans="2:34" x14ac:dyDescent="0.5">
      <c r="B27" s="11" t="s">
        <v>23</v>
      </c>
      <c r="C27" s="8">
        <v>4</v>
      </c>
      <c r="D27" s="8">
        <v>80</v>
      </c>
      <c r="E27" s="8"/>
      <c r="F27" s="8"/>
      <c r="G27" s="8"/>
      <c r="H27" s="8"/>
      <c r="I27" s="8"/>
      <c r="J27" s="8">
        <v>5</v>
      </c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>
        <v>160</v>
      </c>
      <c r="W27" s="8"/>
      <c r="X27" s="8"/>
      <c r="Y27" s="8"/>
      <c r="Z27" s="8"/>
      <c r="AA27" s="8"/>
      <c r="AB27" s="8"/>
      <c r="AC27" s="8"/>
      <c r="AD27" s="8"/>
      <c r="AE27" s="8">
        <v>160</v>
      </c>
      <c r="AF27" s="8"/>
      <c r="AG27" s="8"/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>
        <v>5</v>
      </c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>
        <v>72</v>
      </c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>
        <v>44</v>
      </c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>
        <v>30</v>
      </c>
      <c r="Z32" s="8"/>
      <c r="AA32" s="8"/>
      <c r="AB32" s="8">
        <v>5</v>
      </c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>
        <v>14</v>
      </c>
      <c r="N33" s="8"/>
      <c r="O33" s="8"/>
      <c r="P33" s="8"/>
      <c r="Q33" s="8"/>
      <c r="R33" s="8"/>
      <c r="S33" s="8"/>
      <c r="T33" s="8"/>
      <c r="U33" s="8"/>
      <c r="V33" s="8"/>
      <c r="W33" s="8"/>
      <c r="X33" s="8">
        <v>20</v>
      </c>
      <c r="Y33" s="8"/>
      <c r="Z33" s="8"/>
      <c r="AA33" s="8"/>
      <c r="AB33" s="8">
        <v>5</v>
      </c>
      <c r="AC33" s="8"/>
      <c r="AD33" s="8"/>
      <c r="AE33" s="8"/>
      <c r="AF33" s="8">
        <v>5</v>
      </c>
      <c r="AG33" s="8"/>
      <c r="AH33" s="6"/>
    </row>
    <row r="34" spans="2:34" x14ac:dyDescent="0.5">
      <c r="B34" s="11" t="s">
        <v>47</v>
      </c>
      <c r="C34" s="8">
        <v>97</v>
      </c>
      <c r="D34" s="8"/>
      <c r="E34" s="8"/>
      <c r="F34" s="8"/>
      <c r="G34" s="8"/>
      <c r="H34" s="8"/>
      <c r="I34" s="8"/>
      <c r="J34" s="8"/>
      <c r="K34" s="8"/>
      <c r="L34" s="8"/>
      <c r="M34" s="8">
        <v>20</v>
      </c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>
        <v>52</v>
      </c>
      <c r="Z34" s="8"/>
      <c r="AA34" s="8"/>
      <c r="AB34" s="8">
        <v>25</v>
      </c>
      <c r="AC34" s="8"/>
      <c r="AD34" s="8"/>
      <c r="AE34" s="8"/>
      <c r="AF34" s="8">
        <v>15</v>
      </c>
      <c r="AG34" s="8"/>
      <c r="AH34" s="6"/>
    </row>
    <row r="35" spans="2:34" x14ac:dyDescent="0.5">
      <c r="B35" s="11" t="s">
        <v>48</v>
      </c>
      <c r="C35" s="8">
        <v>55</v>
      </c>
      <c r="D35" s="8">
        <v>20</v>
      </c>
      <c r="E35" s="8">
        <v>20</v>
      </c>
      <c r="F35" s="8"/>
      <c r="G35" s="8">
        <v>20</v>
      </c>
      <c r="H35" s="8"/>
      <c r="I35" s="8"/>
      <c r="J35" s="8"/>
      <c r="K35" s="8"/>
      <c r="L35" s="8"/>
      <c r="M35" s="8">
        <v>12</v>
      </c>
      <c r="N35" s="8"/>
      <c r="O35" s="8"/>
      <c r="P35" s="8"/>
      <c r="Q35" s="8"/>
      <c r="R35" s="8"/>
      <c r="S35" s="8">
        <v>100</v>
      </c>
      <c r="T35" s="8"/>
      <c r="U35" s="8"/>
      <c r="V35" s="8"/>
      <c r="W35" s="8"/>
      <c r="X35" s="8">
        <v>50</v>
      </c>
      <c r="Y35" s="8"/>
      <c r="Z35" s="8"/>
      <c r="AA35" s="8"/>
      <c r="AB35" s="8">
        <v>40</v>
      </c>
      <c r="AC35" s="8">
        <v>45</v>
      </c>
      <c r="AD35" s="8"/>
      <c r="AE35" s="8"/>
      <c r="AF35" s="8">
        <v>20</v>
      </c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>
        <v>5420</v>
      </c>
      <c r="D37" s="87">
        <v>7220</v>
      </c>
      <c r="E37" s="45">
        <v>392</v>
      </c>
      <c r="F37" s="87">
        <v>4715</v>
      </c>
      <c r="G37" s="87">
        <v>1871</v>
      </c>
      <c r="H37" s="45"/>
      <c r="I37" s="45"/>
      <c r="J37" s="87">
        <v>1904</v>
      </c>
      <c r="K37" s="87">
        <v>7505</v>
      </c>
      <c r="L37" s="87">
        <v>1168</v>
      </c>
      <c r="M37" s="45">
        <v>35</v>
      </c>
      <c r="N37" s="87">
        <v>4349</v>
      </c>
      <c r="O37" s="87">
        <v>1425</v>
      </c>
      <c r="P37" s="45"/>
      <c r="Q37" s="45">
        <v>222</v>
      </c>
      <c r="R37" s="45">
        <v>284</v>
      </c>
      <c r="S37" s="87">
        <v>1505</v>
      </c>
      <c r="T37" s="45">
        <v>939</v>
      </c>
      <c r="U37" s="87">
        <v>1162</v>
      </c>
      <c r="V37" s="78">
        <v>437</v>
      </c>
      <c r="W37" s="44"/>
      <c r="X37" s="45">
        <v>703</v>
      </c>
      <c r="Y37" s="87">
        <v>5682</v>
      </c>
      <c r="Z37" s="87">
        <v>1013</v>
      </c>
      <c r="AA37" s="87">
        <v>713</v>
      </c>
      <c r="AB37" s="87">
        <v>1429</v>
      </c>
      <c r="AC37" s="44">
        <v>1187</v>
      </c>
      <c r="AD37" s="44"/>
      <c r="AE37" s="44">
        <v>206</v>
      </c>
      <c r="AF37" s="44"/>
      <c r="AG37" s="44"/>
      <c r="AH37" s="46">
        <f>SUM(C37:AG37)</f>
        <v>51486</v>
      </c>
    </row>
    <row r="38" spans="2:34" x14ac:dyDescent="0.5">
      <c r="B38" s="42" t="s">
        <v>3</v>
      </c>
      <c r="C38" s="88">
        <v>1429</v>
      </c>
      <c r="D38" s="88">
        <v>1348</v>
      </c>
      <c r="E38" s="43">
        <v>268</v>
      </c>
      <c r="F38" s="88">
        <v>3284</v>
      </c>
      <c r="G38" s="43">
        <v>695</v>
      </c>
      <c r="H38" s="43"/>
      <c r="I38" s="43"/>
      <c r="J38" s="43">
        <v>471</v>
      </c>
      <c r="K38" s="43">
        <v>304</v>
      </c>
      <c r="L38" s="43">
        <v>1008</v>
      </c>
      <c r="M38" s="43"/>
      <c r="N38" s="43"/>
      <c r="O38" s="43">
        <v>258</v>
      </c>
      <c r="P38" s="43"/>
      <c r="Q38" s="43"/>
      <c r="R38" s="43">
        <v>124</v>
      </c>
      <c r="S38" s="88">
        <v>1273</v>
      </c>
      <c r="T38" s="43">
        <v>70</v>
      </c>
      <c r="U38" s="43">
        <v>23</v>
      </c>
      <c r="V38" s="43">
        <v>88</v>
      </c>
      <c r="W38" s="43"/>
      <c r="X38" s="43">
        <v>69</v>
      </c>
      <c r="Y38" s="43">
        <v>685</v>
      </c>
      <c r="Z38" s="88">
        <v>147</v>
      </c>
      <c r="AA38" s="43">
        <v>323</v>
      </c>
      <c r="AB38" s="43">
        <v>137</v>
      </c>
      <c r="AC38" s="95">
        <v>659</v>
      </c>
      <c r="AD38" s="95"/>
      <c r="AE38" s="95">
        <v>0</v>
      </c>
      <c r="AF38" s="95"/>
      <c r="AG38" s="95"/>
      <c r="AH38" s="7"/>
    </row>
    <row r="39" spans="2:34" x14ac:dyDescent="0.5">
      <c r="B39" s="15" t="s">
        <v>10</v>
      </c>
      <c r="C39" s="9">
        <v>320</v>
      </c>
      <c r="D39" s="9">
        <v>405</v>
      </c>
      <c r="E39" s="9">
        <v>118</v>
      </c>
      <c r="F39" s="9">
        <v>1500</v>
      </c>
      <c r="G39" s="9">
        <v>104</v>
      </c>
      <c r="H39" s="9"/>
      <c r="I39" s="9"/>
      <c r="J39" s="9">
        <v>114</v>
      </c>
      <c r="K39" s="9">
        <v>342</v>
      </c>
      <c r="L39" s="9">
        <v>426</v>
      </c>
      <c r="M39" s="9"/>
      <c r="N39" s="9"/>
      <c r="O39" s="9">
        <v>117</v>
      </c>
      <c r="P39" s="9"/>
      <c r="Q39" s="9"/>
      <c r="R39" s="9">
        <v>31</v>
      </c>
      <c r="S39" s="9">
        <v>604</v>
      </c>
      <c r="T39" s="9">
        <v>20</v>
      </c>
      <c r="U39" s="9"/>
      <c r="V39" s="9"/>
      <c r="W39" s="9"/>
      <c r="X39" s="9"/>
      <c r="Y39" s="9">
        <v>15</v>
      </c>
      <c r="Z39" s="9">
        <v>42</v>
      </c>
      <c r="AA39" s="9">
        <v>400</v>
      </c>
      <c r="AB39" s="9">
        <v>0</v>
      </c>
      <c r="AC39" s="9">
        <v>734</v>
      </c>
      <c r="AD39" s="9"/>
      <c r="AE39" s="9"/>
      <c r="AF39" s="9"/>
      <c r="AG39" s="9"/>
      <c r="AH39" s="14"/>
    </row>
    <row r="40" spans="2:34" x14ac:dyDescent="0.5">
      <c r="B40" s="15" t="s">
        <v>11</v>
      </c>
      <c r="C40" s="9">
        <v>22</v>
      </c>
      <c r="D40" s="9">
        <v>30</v>
      </c>
      <c r="E40" s="9">
        <v>4</v>
      </c>
      <c r="F40" s="9">
        <v>49</v>
      </c>
      <c r="G40" s="9">
        <v>12</v>
      </c>
      <c r="H40" s="9"/>
      <c r="I40" s="9"/>
      <c r="J40" s="9">
        <v>10</v>
      </c>
      <c r="K40" s="9">
        <v>5</v>
      </c>
      <c r="L40" s="9">
        <v>19</v>
      </c>
      <c r="M40" s="9"/>
      <c r="N40" s="9"/>
      <c r="O40" s="9">
        <v>5</v>
      </c>
      <c r="P40" s="9"/>
      <c r="Q40" s="9"/>
      <c r="R40" s="9">
        <v>2</v>
      </c>
      <c r="S40" s="9">
        <v>24</v>
      </c>
      <c r="T40" s="9">
        <v>1</v>
      </c>
      <c r="U40" s="9"/>
      <c r="V40" s="9">
        <v>2</v>
      </c>
      <c r="W40" s="9"/>
      <c r="X40" s="9"/>
      <c r="Y40" s="9">
        <v>17</v>
      </c>
      <c r="Z40" s="9">
        <v>2</v>
      </c>
      <c r="AA40" s="9">
        <v>3</v>
      </c>
      <c r="AB40" s="9">
        <v>2</v>
      </c>
      <c r="AC40" s="9">
        <v>5</v>
      </c>
      <c r="AD40" s="9"/>
      <c r="AE40" s="9"/>
      <c r="AF40" s="9"/>
      <c r="AG40" s="9"/>
      <c r="AH40" s="7"/>
    </row>
    <row r="41" spans="2:34" x14ac:dyDescent="0.5">
      <c r="B41" s="16" t="s">
        <v>5</v>
      </c>
      <c r="C41" s="97">
        <f>SUM(C37-C38)</f>
        <v>3991</v>
      </c>
      <c r="D41" s="97">
        <f t="shared" ref="D41:AG41" si="3">SUM(D37-D38)</f>
        <v>5872</v>
      </c>
      <c r="E41" s="97">
        <f t="shared" si="3"/>
        <v>124</v>
      </c>
      <c r="F41" s="97">
        <f t="shared" si="3"/>
        <v>1431</v>
      </c>
      <c r="G41" s="97">
        <f t="shared" si="3"/>
        <v>1176</v>
      </c>
      <c r="H41" s="97">
        <f t="shared" si="3"/>
        <v>0</v>
      </c>
      <c r="I41" s="97">
        <f t="shared" si="3"/>
        <v>0</v>
      </c>
      <c r="J41" s="97">
        <f t="shared" si="3"/>
        <v>1433</v>
      </c>
      <c r="K41" s="97">
        <f t="shared" si="3"/>
        <v>7201</v>
      </c>
      <c r="L41" s="97">
        <f t="shared" si="3"/>
        <v>160</v>
      </c>
      <c r="M41" s="97">
        <f t="shared" si="3"/>
        <v>35</v>
      </c>
      <c r="N41" s="97">
        <f t="shared" si="3"/>
        <v>4349</v>
      </c>
      <c r="O41" s="97">
        <f t="shared" si="3"/>
        <v>1167</v>
      </c>
      <c r="P41" s="97">
        <f t="shared" si="3"/>
        <v>0</v>
      </c>
      <c r="Q41" s="97">
        <f t="shared" si="3"/>
        <v>222</v>
      </c>
      <c r="R41" s="97">
        <f t="shared" si="3"/>
        <v>160</v>
      </c>
      <c r="S41" s="97">
        <f t="shared" si="3"/>
        <v>232</v>
      </c>
      <c r="T41" s="97">
        <f t="shared" si="3"/>
        <v>869</v>
      </c>
      <c r="U41" s="97">
        <f t="shared" si="3"/>
        <v>1139</v>
      </c>
      <c r="V41" s="97">
        <f t="shared" si="3"/>
        <v>349</v>
      </c>
      <c r="W41" s="97">
        <f t="shared" si="3"/>
        <v>0</v>
      </c>
      <c r="X41" s="97">
        <f t="shared" si="3"/>
        <v>634</v>
      </c>
      <c r="Y41" s="97">
        <f t="shared" si="3"/>
        <v>4997</v>
      </c>
      <c r="Z41" s="97">
        <f t="shared" si="3"/>
        <v>866</v>
      </c>
      <c r="AA41" s="97">
        <f t="shared" si="3"/>
        <v>390</v>
      </c>
      <c r="AB41" s="97">
        <f t="shared" si="3"/>
        <v>1292</v>
      </c>
      <c r="AC41" s="97">
        <f t="shared" si="3"/>
        <v>528</v>
      </c>
      <c r="AD41" s="97">
        <f t="shared" si="3"/>
        <v>0</v>
      </c>
      <c r="AE41" s="97">
        <f t="shared" si="3"/>
        <v>206</v>
      </c>
      <c r="AF41" s="97">
        <f t="shared" si="3"/>
        <v>0</v>
      </c>
      <c r="AG41" s="97">
        <f t="shared" si="3"/>
        <v>0</v>
      </c>
      <c r="AH41" s="13">
        <f>SUM(C41:AG41)</f>
        <v>38823</v>
      </c>
    </row>
    <row r="42" spans="2:34" x14ac:dyDescent="0.5">
      <c r="B42" s="16" t="s">
        <v>8</v>
      </c>
      <c r="C42" s="5">
        <v>1215</v>
      </c>
      <c r="D42" s="5">
        <v>0</v>
      </c>
      <c r="E42" s="5">
        <v>0</v>
      </c>
      <c r="F42" s="5">
        <v>1749</v>
      </c>
      <c r="G42" s="5">
        <v>897</v>
      </c>
      <c r="H42" s="5"/>
      <c r="I42" s="5"/>
      <c r="J42" s="5">
        <v>120</v>
      </c>
      <c r="K42" s="5">
        <v>754</v>
      </c>
      <c r="L42" s="5">
        <v>0</v>
      </c>
      <c r="M42" s="5"/>
      <c r="N42" s="5"/>
      <c r="O42" s="5">
        <v>227</v>
      </c>
      <c r="P42" s="5"/>
      <c r="Q42" s="5">
        <v>89</v>
      </c>
      <c r="R42" s="5"/>
      <c r="S42" s="5">
        <v>660</v>
      </c>
      <c r="T42" s="5">
        <v>84</v>
      </c>
      <c r="U42" s="92">
        <v>2860</v>
      </c>
      <c r="V42" s="5">
        <v>0</v>
      </c>
      <c r="W42" s="5"/>
      <c r="X42" s="5">
        <v>116</v>
      </c>
      <c r="Y42" s="5">
        <v>178</v>
      </c>
      <c r="Z42" s="5">
        <v>0</v>
      </c>
      <c r="AA42" s="5">
        <v>102</v>
      </c>
      <c r="AB42" s="5">
        <v>387</v>
      </c>
      <c r="AC42" s="92"/>
      <c r="AD42" s="5"/>
      <c r="AE42" s="5">
        <v>64</v>
      </c>
      <c r="AF42" s="5"/>
      <c r="AG42" s="5"/>
      <c r="AH42" s="12"/>
    </row>
    <row r="43" spans="2:34" ht="18" customHeight="1" thickBot="1" x14ac:dyDescent="0.55000000000000004">
      <c r="B43" s="47" t="s">
        <v>7</v>
      </c>
      <c r="C43" s="48">
        <v>92</v>
      </c>
      <c r="D43" s="48">
        <v>101</v>
      </c>
      <c r="E43" s="48">
        <v>3</v>
      </c>
      <c r="F43" s="48">
        <v>18</v>
      </c>
      <c r="G43" s="48">
        <v>17</v>
      </c>
      <c r="H43" s="48"/>
      <c r="I43" s="48"/>
      <c r="J43" s="48">
        <v>20</v>
      </c>
      <c r="K43" s="48">
        <v>152</v>
      </c>
      <c r="L43" s="48">
        <v>0</v>
      </c>
      <c r="M43" s="48"/>
      <c r="N43" s="48"/>
      <c r="O43" s="48">
        <v>15</v>
      </c>
      <c r="P43" s="48"/>
      <c r="Q43" s="48">
        <v>2</v>
      </c>
      <c r="R43" s="48"/>
      <c r="S43" s="48"/>
      <c r="T43" s="48">
        <v>9</v>
      </c>
      <c r="U43" s="48">
        <v>81</v>
      </c>
      <c r="V43" s="48">
        <v>6</v>
      </c>
      <c r="W43" s="48"/>
      <c r="X43" s="48">
        <v>9</v>
      </c>
      <c r="Y43" s="48">
        <v>67</v>
      </c>
      <c r="Z43" s="48">
        <v>12</v>
      </c>
      <c r="AA43" s="48">
        <v>4</v>
      </c>
      <c r="AB43" s="93">
        <v>22</v>
      </c>
      <c r="AC43" s="48">
        <v>12</v>
      </c>
      <c r="AD43" s="48"/>
      <c r="AE43" s="48">
        <v>3</v>
      </c>
      <c r="AF43" s="48"/>
      <c r="AG43" s="48"/>
      <c r="AH43" s="96"/>
    </row>
    <row r="44" spans="2:34" ht="21.75" thickBot="1" x14ac:dyDescent="0.55000000000000004">
      <c r="B44" s="65" t="s">
        <v>9</v>
      </c>
      <c r="C44" s="49"/>
      <c r="D44" s="49">
        <v>605</v>
      </c>
      <c r="E44" s="49"/>
      <c r="F44" s="49"/>
      <c r="G44" s="49">
        <v>408</v>
      </c>
      <c r="H44" s="49"/>
      <c r="I44" s="49"/>
      <c r="J44" s="49">
        <v>330</v>
      </c>
      <c r="K44" s="49">
        <v>605</v>
      </c>
      <c r="L44" s="49">
        <v>457</v>
      </c>
      <c r="M44" s="49"/>
      <c r="N44" s="49"/>
      <c r="O44" s="49"/>
      <c r="P44" s="49"/>
      <c r="Q44" s="49">
        <v>170</v>
      </c>
      <c r="R44" s="49">
        <v>265</v>
      </c>
      <c r="S44" s="49"/>
      <c r="T44" s="49"/>
      <c r="U44" s="49">
        <v>81</v>
      </c>
      <c r="V44" s="49">
        <v>242</v>
      </c>
      <c r="W44" s="49"/>
      <c r="X44" s="49">
        <v>225</v>
      </c>
      <c r="Y44" s="49">
        <v>641</v>
      </c>
      <c r="Z44" s="49">
        <v>0</v>
      </c>
      <c r="AA44" s="49"/>
      <c r="AB44" s="49"/>
      <c r="AC44" s="49"/>
      <c r="AD44" s="49"/>
      <c r="AE44" s="49">
        <v>69</v>
      </c>
      <c r="AF44" s="49"/>
      <c r="AG44" s="49"/>
      <c r="AH44" s="50"/>
    </row>
    <row r="45" spans="2:34" ht="21.75" thickBot="1" x14ac:dyDescent="0.55000000000000004">
      <c r="B45" s="66" t="s">
        <v>14</v>
      </c>
      <c r="C45" s="51">
        <f>C39+C42+C44</f>
        <v>1535</v>
      </c>
      <c r="D45" s="51">
        <f>D39+D42+D44</f>
        <v>1010</v>
      </c>
      <c r="E45" s="51">
        <f>E39+E42+E44</f>
        <v>118</v>
      </c>
      <c r="F45" s="51">
        <f>F39+F42+F44</f>
        <v>3249</v>
      </c>
      <c r="G45" s="51">
        <f>G39+G42+G44</f>
        <v>1409</v>
      </c>
      <c r="H45" s="51">
        <f t="shared" ref="H45:AG45" si="4">H39+H42+H44</f>
        <v>0</v>
      </c>
      <c r="I45" s="51">
        <f t="shared" si="4"/>
        <v>0</v>
      </c>
      <c r="J45" s="51">
        <f t="shared" si="4"/>
        <v>564</v>
      </c>
      <c r="K45" s="51">
        <f t="shared" si="4"/>
        <v>1701</v>
      </c>
      <c r="L45" s="51">
        <f t="shared" si="4"/>
        <v>883</v>
      </c>
      <c r="M45" s="51">
        <f t="shared" si="4"/>
        <v>0</v>
      </c>
      <c r="N45" s="51">
        <f t="shared" si="4"/>
        <v>0</v>
      </c>
      <c r="O45" s="51">
        <f t="shared" si="4"/>
        <v>344</v>
      </c>
      <c r="P45" s="51">
        <f t="shared" si="4"/>
        <v>0</v>
      </c>
      <c r="Q45" s="51">
        <f t="shared" si="4"/>
        <v>259</v>
      </c>
      <c r="R45" s="51">
        <f t="shared" si="4"/>
        <v>296</v>
      </c>
      <c r="S45" s="51">
        <f t="shared" si="4"/>
        <v>1264</v>
      </c>
      <c r="T45" s="51">
        <f t="shared" si="4"/>
        <v>104</v>
      </c>
      <c r="U45" s="51">
        <f t="shared" si="4"/>
        <v>2941</v>
      </c>
      <c r="V45" s="51">
        <f t="shared" si="4"/>
        <v>242</v>
      </c>
      <c r="W45" s="51">
        <f t="shared" si="4"/>
        <v>0</v>
      </c>
      <c r="X45" s="51">
        <f t="shared" si="4"/>
        <v>341</v>
      </c>
      <c r="Y45" s="51">
        <f t="shared" si="4"/>
        <v>834</v>
      </c>
      <c r="Z45" s="51">
        <f t="shared" si="4"/>
        <v>42</v>
      </c>
      <c r="AA45" s="51">
        <f t="shared" si="4"/>
        <v>502</v>
      </c>
      <c r="AB45" s="51">
        <f t="shared" si="4"/>
        <v>387</v>
      </c>
      <c r="AC45" s="51">
        <f t="shared" si="4"/>
        <v>734</v>
      </c>
      <c r="AD45" s="51">
        <f t="shared" si="4"/>
        <v>0</v>
      </c>
      <c r="AE45" s="51">
        <f t="shared" si="4"/>
        <v>133</v>
      </c>
      <c r="AF45" s="51">
        <f t="shared" si="4"/>
        <v>0</v>
      </c>
      <c r="AG45" s="51">
        <f t="shared" si="4"/>
        <v>0</v>
      </c>
      <c r="AH45" s="52"/>
    </row>
    <row r="46" spans="2:34" ht="21.75" thickBot="1" x14ac:dyDescent="0.55000000000000004">
      <c r="B46" s="67" t="s">
        <v>6</v>
      </c>
      <c r="C46" s="77">
        <f>8885-C37</f>
        <v>3465</v>
      </c>
      <c r="D46" s="98">
        <f>33465-D37</f>
        <v>26245</v>
      </c>
      <c r="E46" s="102">
        <f>D46-E37</f>
        <v>25853</v>
      </c>
      <c r="F46" s="102">
        <f>E46-F37</f>
        <v>21138</v>
      </c>
      <c r="G46" s="102">
        <f>F46-G37</f>
        <v>19267</v>
      </c>
      <c r="H46" s="53"/>
      <c r="I46" s="53"/>
      <c r="J46" s="102">
        <f>G46-J37</f>
        <v>17363</v>
      </c>
      <c r="K46" s="102">
        <f>J46-K37</f>
        <v>9858</v>
      </c>
      <c r="L46" s="102">
        <f>K46-L37</f>
        <v>8690</v>
      </c>
      <c r="M46" s="102">
        <f>L46-M37</f>
        <v>8655</v>
      </c>
      <c r="N46" s="102">
        <f>M46-N37</f>
        <v>4306</v>
      </c>
      <c r="O46" s="102">
        <f>N46-O37</f>
        <v>2881</v>
      </c>
      <c r="P46" s="53"/>
      <c r="Q46" s="102">
        <f>O46-Q37</f>
        <v>2659</v>
      </c>
      <c r="R46" s="102">
        <f>Q46-R37</f>
        <v>2375</v>
      </c>
      <c r="S46" s="102">
        <f>R46-S37</f>
        <v>870</v>
      </c>
      <c r="T46" s="98">
        <f>30870-T37</f>
        <v>29931</v>
      </c>
      <c r="U46" s="102">
        <f>T46-U37</f>
        <v>28769</v>
      </c>
      <c r="V46" s="102">
        <f>U46-V37</f>
        <v>28332</v>
      </c>
      <c r="W46" s="77"/>
      <c r="X46" s="77">
        <f>V46-X37</f>
        <v>27629</v>
      </c>
      <c r="Y46" s="77">
        <f>X46-Y37</f>
        <v>21947</v>
      </c>
      <c r="Z46" s="77">
        <f>Y46-Z37</f>
        <v>20934</v>
      </c>
      <c r="AA46" s="77">
        <f>Z46-AA37</f>
        <v>20221</v>
      </c>
      <c r="AB46" s="77">
        <f>AA46-AB37</f>
        <v>18792</v>
      </c>
      <c r="AC46" s="77">
        <f>AB46-AC37</f>
        <v>17605</v>
      </c>
      <c r="AD46" s="77"/>
      <c r="AE46" s="77">
        <f>AC46-AE37</f>
        <v>17399</v>
      </c>
      <c r="AF46" s="77"/>
      <c r="AG46" s="53"/>
      <c r="AH46" s="54"/>
    </row>
    <row r="47" spans="2:34" ht="21.75" thickBot="1" x14ac:dyDescent="0.55000000000000004">
      <c r="B47" s="23" t="s">
        <v>31</v>
      </c>
      <c r="C47" s="55">
        <f>(C38+C81+C82+C83)-C37</f>
        <v>3139</v>
      </c>
      <c r="D47" s="55">
        <f t="shared" ref="D47:AG47" si="5">(D38+D81+D82+D83)-D37</f>
        <v>228</v>
      </c>
      <c r="E47" s="55">
        <f t="shared" si="5"/>
        <v>155</v>
      </c>
      <c r="F47" s="55">
        <f t="shared" si="5"/>
        <v>243</v>
      </c>
      <c r="G47" s="55">
        <f t="shared" si="5"/>
        <v>301</v>
      </c>
      <c r="H47" s="55">
        <f t="shared" si="5"/>
        <v>0</v>
      </c>
      <c r="I47" s="55">
        <f t="shared" si="5"/>
        <v>0</v>
      </c>
      <c r="J47" s="55">
        <f t="shared" si="5"/>
        <v>651</v>
      </c>
      <c r="K47" s="55">
        <f t="shared" si="5"/>
        <v>2206</v>
      </c>
      <c r="L47" s="55">
        <f t="shared" si="5"/>
        <v>74</v>
      </c>
      <c r="M47" s="55">
        <f t="shared" si="5"/>
        <v>10</v>
      </c>
      <c r="N47" s="55">
        <f t="shared" si="5"/>
        <v>1385</v>
      </c>
      <c r="O47" s="55">
        <f t="shared" si="5"/>
        <v>944</v>
      </c>
      <c r="P47" s="55">
        <f t="shared" si="5"/>
        <v>0</v>
      </c>
      <c r="Q47" s="55">
        <f t="shared" si="5"/>
        <v>70</v>
      </c>
      <c r="R47" s="55">
        <f t="shared" si="5"/>
        <v>16</v>
      </c>
      <c r="S47" s="55">
        <f t="shared" si="5"/>
        <v>1263</v>
      </c>
      <c r="T47" s="55">
        <f t="shared" si="5"/>
        <v>145</v>
      </c>
      <c r="U47" s="55">
        <f t="shared" si="5"/>
        <v>2348</v>
      </c>
      <c r="V47" s="55">
        <f t="shared" si="5"/>
        <v>170</v>
      </c>
      <c r="W47" s="55">
        <f t="shared" si="5"/>
        <v>0</v>
      </c>
      <c r="X47" s="55">
        <f t="shared" si="5"/>
        <v>379</v>
      </c>
      <c r="Y47" s="55">
        <f t="shared" si="5"/>
        <v>760</v>
      </c>
      <c r="Z47" s="55">
        <f t="shared" si="5"/>
        <v>304</v>
      </c>
      <c r="AA47" s="55">
        <f t="shared" si="5"/>
        <v>137</v>
      </c>
      <c r="AB47" s="55">
        <f t="shared" si="5"/>
        <v>752</v>
      </c>
      <c r="AC47" s="55">
        <f t="shared" si="5"/>
        <v>0</v>
      </c>
      <c r="AD47" s="55">
        <f t="shared" si="5"/>
        <v>0</v>
      </c>
      <c r="AE47" s="55">
        <f t="shared" si="5"/>
        <v>96</v>
      </c>
      <c r="AF47" s="55">
        <f t="shared" si="5"/>
        <v>0</v>
      </c>
      <c r="AG47" s="55">
        <f t="shared" si="5"/>
        <v>0</v>
      </c>
      <c r="AH47" s="56">
        <f>SUM(C47:AG47)</f>
        <v>15776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>
        <v>45536</v>
      </c>
      <c r="D49" s="71">
        <v>45537</v>
      </c>
      <c r="E49" s="71">
        <v>45538</v>
      </c>
      <c r="F49" s="71">
        <v>45539</v>
      </c>
      <c r="G49" s="71">
        <v>45540</v>
      </c>
      <c r="H49" s="71">
        <v>45541</v>
      </c>
      <c r="I49" s="71">
        <v>45542</v>
      </c>
      <c r="J49" s="71">
        <v>45543</v>
      </c>
      <c r="K49" s="71">
        <v>45544</v>
      </c>
      <c r="L49" s="71">
        <v>45545</v>
      </c>
      <c r="M49" s="71">
        <v>45546</v>
      </c>
      <c r="N49" s="71">
        <v>45547</v>
      </c>
      <c r="O49" s="71">
        <v>45548</v>
      </c>
      <c r="P49" s="71">
        <v>45549</v>
      </c>
      <c r="Q49" s="71">
        <v>45550</v>
      </c>
      <c r="R49" s="71">
        <v>45551</v>
      </c>
      <c r="S49" s="71">
        <v>45552</v>
      </c>
      <c r="T49" s="71">
        <v>45553</v>
      </c>
      <c r="U49" s="71">
        <v>45554</v>
      </c>
      <c r="V49" s="71">
        <v>45555</v>
      </c>
      <c r="W49" s="71">
        <v>45556</v>
      </c>
      <c r="X49" s="71">
        <v>45557</v>
      </c>
      <c r="Y49" s="71">
        <v>45558</v>
      </c>
      <c r="Z49" s="71">
        <v>45559</v>
      </c>
      <c r="AA49" s="71">
        <v>45560</v>
      </c>
      <c r="AB49" s="71">
        <v>45561</v>
      </c>
      <c r="AC49" s="71">
        <v>45562</v>
      </c>
      <c r="AD49" s="71">
        <v>45563</v>
      </c>
      <c r="AE49" s="71">
        <v>45564</v>
      </c>
      <c r="AF49" s="71">
        <v>45565</v>
      </c>
      <c r="AG49" s="71"/>
      <c r="AH49" s="72" t="s">
        <v>17</v>
      </c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 t="s">
        <v>36</v>
      </c>
      <c r="X50" s="69"/>
      <c r="Y50" s="69"/>
      <c r="Z50" s="69" t="s">
        <v>39</v>
      </c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>
        <v>290</v>
      </c>
      <c r="X56" s="2"/>
      <c r="Y56" s="2"/>
      <c r="Z56" s="89">
        <v>1263</v>
      </c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hidden="1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 t="s">
        <v>38</v>
      </c>
      <c r="AA59" s="69"/>
      <c r="AB59" s="69" t="s">
        <v>43</v>
      </c>
      <c r="AC59" s="69" t="s">
        <v>44</v>
      </c>
      <c r="AD59" s="69" t="s">
        <v>45</v>
      </c>
      <c r="AE59" s="69"/>
      <c r="AF59" s="69" t="s">
        <v>49</v>
      </c>
      <c r="AG59" s="69"/>
      <c r="AH59" s="118"/>
    </row>
    <row r="60" spans="2:34" hidden="1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hidden="1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hidden="1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hidden="1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hidden="1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hidden="1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hidden="1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hidden="1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hidden="1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>
        <v>3015</v>
      </c>
      <c r="AA68" s="4"/>
      <c r="AB68" s="4">
        <v>715</v>
      </c>
      <c r="AC68" s="4">
        <v>600</v>
      </c>
      <c r="AD68" s="4">
        <v>250</v>
      </c>
      <c r="AE68" s="4"/>
      <c r="AF68" s="86">
        <v>6510</v>
      </c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41729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2436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15776</v>
      </c>
    </row>
    <row r="74" spans="2:34" ht="24" customHeight="1" x14ac:dyDescent="0.5">
      <c r="B74" s="19" t="s">
        <v>3</v>
      </c>
      <c r="C74" s="21">
        <f>SUM(C38:AG38)</f>
        <v>12663</v>
      </c>
    </row>
    <row r="75" spans="2:34" ht="24" customHeight="1" x14ac:dyDescent="0.5">
      <c r="B75" s="19" t="s">
        <v>4</v>
      </c>
      <c r="C75" s="21">
        <f>SUM(C37:AG37)</f>
        <v>51486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>
        <v>2035</v>
      </c>
      <c r="D81" s="2"/>
      <c r="E81" s="2">
        <v>31</v>
      </c>
      <c r="F81" s="2">
        <v>479</v>
      </c>
      <c r="G81" s="2">
        <v>261</v>
      </c>
      <c r="H81" s="2"/>
      <c r="I81" s="2"/>
      <c r="J81" s="2"/>
      <c r="K81" s="2"/>
      <c r="L81" s="2"/>
      <c r="M81" s="2"/>
      <c r="N81" s="2">
        <v>364</v>
      </c>
      <c r="O81" s="2">
        <v>755</v>
      </c>
      <c r="P81" s="2"/>
      <c r="Q81" s="2">
        <v>209</v>
      </c>
      <c r="R81" s="2">
        <v>59</v>
      </c>
      <c r="S81" s="2">
        <v>1300</v>
      </c>
      <c r="T81" s="2">
        <v>193</v>
      </c>
      <c r="U81" s="2">
        <v>300</v>
      </c>
      <c r="V81" s="2">
        <v>360</v>
      </c>
      <c r="W81" s="81"/>
      <c r="X81" s="2">
        <v>74</v>
      </c>
      <c r="Y81" s="2">
        <v>185</v>
      </c>
      <c r="Z81" s="89"/>
      <c r="AA81" s="2"/>
      <c r="AB81" s="2">
        <v>38</v>
      </c>
      <c r="AC81" s="2">
        <v>528</v>
      </c>
      <c r="AD81" s="2"/>
      <c r="AE81" s="2">
        <v>41</v>
      </c>
      <c r="AF81" s="2"/>
      <c r="AG81" s="2"/>
    </row>
    <row r="82" spans="2:33" x14ac:dyDescent="0.5">
      <c r="B82" s="19" t="s">
        <v>35</v>
      </c>
      <c r="C82" s="2">
        <v>375</v>
      </c>
      <c r="D82" s="2"/>
      <c r="E82" s="2"/>
      <c r="F82" s="2">
        <v>540</v>
      </c>
      <c r="G82" s="2"/>
      <c r="H82" s="2"/>
      <c r="I82" s="2"/>
      <c r="J82" s="2">
        <v>35</v>
      </c>
      <c r="K82" s="2">
        <v>4235</v>
      </c>
      <c r="L82" s="2"/>
      <c r="M82" s="2"/>
      <c r="N82" s="2">
        <v>505</v>
      </c>
      <c r="O82" s="2">
        <v>1356</v>
      </c>
      <c r="P82" s="2"/>
      <c r="Q82" s="2">
        <v>33</v>
      </c>
      <c r="R82" s="2"/>
      <c r="S82" s="2">
        <v>150</v>
      </c>
      <c r="T82" s="2">
        <v>49</v>
      </c>
      <c r="U82" s="2">
        <v>37</v>
      </c>
      <c r="V82" s="2"/>
      <c r="W82" s="2"/>
      <c r="X82" s="2"/>
      <c r="Y82" s="2"/>
      <c r="Z82" s="2"/>
      <c r="AA82" s="2">
        <v>174</v>
      </c>
      <c r="AB82" s="2">
        <v>545</v>
      </c>
      <c r="AC82" s="2"/>
      <c r="AD82" s="2"/>
      <c r="AE82" s="2">
        <v>35</v>
      </c>
      <c r="AF82" s="89"/>
      <c r="AG82" s="2"/>
    </row>
    <row r="83" spans="2:33" x14ac:dyDescent="0.5">
      <c r="B83" s="90" t="s">
        <v>41</v>
      </c>
      <c r="C83" s="94">
        <v>4720</v>
      </c>
      <c r="D83" s="91">
        <v>6100</v>
      </c>
      <c r="E83" s="91">
        <v>248</v>
      </c>
      <c r="F83" s="91">
        <v>655</v>
      </c>
      <c r="G83" s="94">
        <v>1216</v>
      </c>
      <c r="H83" s="91"/>
      <c r="I83" s="91"/>
      <c r="J83" s="91">
        <v>2049</v>
      </c>
      <c r="K83" s="94">
        <v>5172</v>
      </c>
      <c r="L83" s="91">
        <v>234</v>
      </c>
      <c r="M83" s="91">
        <v>45</v>
      </c>
      <c r="N83" s="91">
        <v>4865</v>
      </c>
      <c r="O83" s="91"/>
      <c r="P83" s="91"/>
      <c r="Q83" s="91">
        <v>50</v>
      </c>
      <c r="R83" s="91">
        <v>117</v>
      </c>
      <c r="S83" s="91">
        <v>45</v>
      </c>
      <c r="T83" s="91">
        <v>772</v>
      </c>
      <c r="U83" s="91">
        <v>3150</v>
      </c>
      <c r="V83" s="91">
        <v>159</v>
      </c>
      <c r="W83" s="91"/>
      <c r="X83" s="91">
        <v>939</v>
      </c>
      <c r="Y83" s="94">
        <v>5572</v>
      </c>
      <c r="Z83" s="94">
        <v>1170</v>
      </c>
      <c r="AA83" s="91">
        <v>353</v>
      </c>
      <c r="AB83" s="91">
        <v>1461</v>
      </c>
      <c r="AC83" s="94"/>
      <c r="AD83" s="91"/>
      <c r="AE83" s="91">
        <v>226</v>
      </c>
      <c r="AF83" s="91"/>
      <c r="AG83" s="91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AH83"/>
  <sheetViews>
    <sheetView topLeftCell="A2" workbookViewId="0">
      <pane xSplit="2" ySplit="3" topLeftCell="AC5" activePane="bottomRight" state="frozen"/>
      <selection activeCell="A2" sqref="A2"/>
      <selection pane="topRight" activeCell="C2" sqref="C2"/>
      <selection pane="bottomLeft" activeCell="A5" sqref="A5"/>
      <selection pane="bottomRight" activeCell="AG35" sqref="AG35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45658</v>
      </c>
      <c r="D4" s="27">
        <v>45659</v>
      </c>
      <c r="E4" s="27">
        <v>45660</v>
      </c>
      <c r="F4" s="27">
        <v>45661</v>
      </c>
      <c r="G4" s="27">
        <v>45662</v>
      </c>
      <c r="H4" s="27">
        <v>45663</v>
      </c>
      <c r="I4" s="27">
        <v>45664</v>
      </c>
      <c r="J4" s="27">
        <v>45665</v>
      </c>
      <c r="K4" s="27">
        <v>45666</v>
      </c>
      <c r="L4" s="27">
        <v>45667</v>
      </c>
      <c r="M4" s="27">
        <v>45668</v>
      </c>
      <c r="N4" s="27">
        <v>45669</v>
      </c>
      <c r="O4" s="27">
        <v>45670</v>
      </c>
      <c r="P4" s="27">
        <v>45671</v>
      </c>
      <c r="Q4" s="27">
        <v>45672</v>
      </c>
      <c r="R4" s="27">
        <v>45673</v>
      </c>
      <c r="S4" s="27">
        <v>45674</v>
      </c>
      <c r="T4" s="27">
        <v>45675</v>
      </c>
      <c r="U4" s="27">
        <v>45676</v>
      </c>
      <c r="V4" s="27">
        <v>45677</v>
      </c>
      <c r="W4" s="27">
        <v>45678</v>
      </c>
      <c r="X4" s="27">
        <v>45679</v>
      </c>
      <c r="Y4" s="27">
        <v>45680</v>
      </c>
      <c r="Z4" s="27">
        <v>45681</v>
      </c>
      <c r="AA4" s="27">
        <v>45682</v>
      </c>
      <c r="AB4" s="27">
        <v>45683</v>
      </c>
      <c r="AC4" s="27">
        <v>45684</v>
      </c>
      <c r="AD4" s="27">
        <v>45685</v>
      </c>
      <c r="AE4" s="27">
        <v>45686</v>
      </c>
      <c r="AF4" s="27">
        <v>45687</v>
      </c>
      <c r="AG4" s="27">
        <v>45688</v>
      </c>
      <c r="AH4" s="26" t="s">
        <v>12</v>
      </c>
    </row>
    <row r="5" spans="1:34" ht="21.75" thickBot="1" x14ac:dyDescent="0.55000000000000004">
      <c r="B5" s="58" t="s">
        <v>0</v>
      </c>
      <c r="C5" s="28">
        <f>C15</f>
        <v>1000</v>
      </c>
      <c r="D5" s="28">
        <f t="shared" ref="D5:AG5" si="0">D15</f>
        <v>1860</v>
      </c>
      <c r="E5" s="28">
        <f t="shared" si="0"/>
        <v>1381</v>
      </c>
      <c r="F5" s="28">
        <f t="shared" si="0"/>
        <v>40650</v>
      </c>
      <c r="G5" s="28">
        <f t="shared" si="0"/>
        <v>285</v>
      </c>
      <c r="H5" s="28">
        <f t="shared" si="0"/>
        <v>0</v>
      </c>
      <c r="I5" s="28">
        <f t="shared" si="0"/>
        <v>5000</v>
      </c>
      <c r="J5" s="28">
        <f t="shared" si="0"/>
        <v>54137</v>
      </c>
      <c r="K5" s="28">
        <f t="shared" si="0"/>
        <v>1600</v>
      </c>
      <c r="L5" s="28">
        <f t="shared" si="0"/>
        <v>375</v>
      </c>
      <c r="M5" s="28">
        <f t="shared" si="0"/>
        <v>9557</v>
      </c>
      <c r="N5" s="28">
        <f t="shared" si="0"/>
        <v>10148</v>
      </c>
      <c r="O5" s="28">
        <f t="shared" si="0"/>
        <v>2035</v>
      </c>
      <c r="P5" s="28">
        <f t="shared" si="0"/>
        <v>14637</v>
      </c>
      <c r="Q5" s="28">
        <f t="shared" si="0"/>
        <v>5914</v>
      </c>
      <c r="R5" s="28">
        <f t="shared" si="0"/>
        <v>391</v>
      </c>
      <c r="S5" s="28">
        <f t="shared" si="0"/>
        <v>6765</v>
      </c>
      <c r="T5" s="28">
        <f t="shared" si="0"/>
        <v>0</v>
      </c>
      <c r="U5" s="28">
        <f t="shared" si="0"/>
        <v>0</v>
      </c>
      <c r="V5" s="28">
        <f t="shared" si="0"/>
        <v>980</v>
      </c>
      <c r="W5" s="28">
        <f t="shared" si="0"/>
        <v>290</v>
      </c>
      <c r="X5" s="28">
        <f t="shared" si="0"/>
        <v>870</v>
      </c>
      <c r="Y5" s="28">
        <f t="shared" si="0"/>
        <v>2698</v>
      </c>
      <c r="Z5" s="28">
        <f t="shared" si="0"/>
        <v>130</v>
      </c>
      <c r="AA5" s="28">
        <f t="shared" si="0"/>
        <v>3188</v>
      </c>
      <c r="AB5" s="28">
        <f t="shared" si="0"/>
        <v>1807</v>
      </c>
      <c r="AC5" s="28">
        <f t="shared" si="0"/>
        <v>0</v>
      </c>
      <c r="AD5" s="28">
        <f t="shared" si="0"/>
        <v>8065</v>
      </c>
      <c r="AE5" s="28">
        <f t="shared" si="0"/>
        <v>5973</v>
      </c>
      <c r="AF5" s="28">
        <f t="shared" si="0"/>
        <v>280</v>
      </c>
      <c r="AG5" s="28">
        <f t="shared" si="0"/>
        <v>0</v>
      </c>
      <c r="AH5" s="29">
        <f>SUM(C5:AG5)</f>
        <v>180016</v>
      </c>
    </row>
    <row r="6" spans="1:34" x14ac:dyDescent="0.5">
      <c r="B6" s="122"/>
      <c r="C6" s="83" t="s">
        <v>209</v>
      </c>
      <c r="D6" s="83" t="s">
        <v>210</v>
      </c>
      <c r="E6" s="83" t="s">
        <v>214</v>
      </c>
      <c r="F6" s="83" t="s">
        <v>219</v>
      </c>
      <c r="G6" s="83" t="s">
        <v>224</v>
      </c>
      <c r="H6" s="83"/>
      <c r="I6" s="83" t="s">
        <v>226</v>
      </c>
      <c r="J6" s="83" t="s">
        <v>227</v>
      </c>
      <c r="K6" s="83" t="s">
        <v>230</v>
      </c>
      <c r="L6" s="83" t="s">
        <v>232</v>
      </c>
      <c r="M6" s="83" t="s">
        <v>234</v>
      </c>
      <c r="N6" s="83" t="s">
        <v>238</v>
      </c>
      <c r="O6" s="83" t="s">
        <v>245</v>
      </c>
      <c r="P6" s="83" t="s">
        <v>250</v>
      </c>
      <c r="Q6" s="83" t="s">
        <v>253</v>
      </c>
      <c r="R6" s="83" t="s">
        <v>254</v>
      </c>
      <c r="S6" s="83" t="s">
        <v>256</v>
      </c>
      <c r="T6" s="83"/>
      <c r="U6" s="83"/>
      <c r="V6" s="83" t="s">
        <v>259</v>
      </c>
      <c r="W6" s="83" t="s">
        <v>260</v>
      </c>
      <c r="X6" s="83" t="s">
        <v>191</v>
      </c>
      <c r="Y6" s="83" t="s">
        <v>266</v>
      </c>
      <c r="Z6" s="83" t="s">
        <v>271</v>
      </c>
      <c r="AA6" s="83" t="s">
        <v>272</v>
      </c>
      <c r="AB6" s="83" t="s">
        <v>275</v>
      </c>
      <c r="AC6" s="83"/>
      <c r="AD6" s="83" t="s">
        <v>277</v>
      </c>
      <c r="AE6" s="83" t="s">
        <v>281</v>
      </c>
      <c r="AF6" s="83" t="s">
        <v>285</v>
      </c>
      <c r="AG6" s="83" t="s">
        <v>286</v>
      </c>
      <c r="AH6" s="123"/>
    </row>
    <row r="7" spans="1:34" x14ac:dyDescent="0.5">
      <c r="B7" s="122"/>
      <c r="C7" s="84"/>
      <c r="D7" s="84" t="s">
        <v>211</v>
      </c>
      <c r="E7" s="84" t="s">
        <v>215</v>
      </c>
      <c r="F7" s="84" t="s">
        <v>220</v>
      </c>
      <c r="G7" s="84" t="s">
        <v>225</v>
      </c>
      <c r="H7" s="84"/>
      <c r="I7" s="84"/>
      <c r="J7" s="84" t="s">
        <v>228</v>
      </c>
      <c r="K7" s="84" t="s">
        <v>231</v>
      </c>
      <c r="L7" s="84" t="s">
        <v>233</v>
      </c>
      <c r="M7" s="84" t="s">
        <v>235</v>
      </c>
      <c r="N7" s="84" t="s">
        <v>239</v>
      </c>
      <c r="O7" s="84" t="s">
        <v>246</v>
      </c>
      <c r="P7" s="84" t="s">
        <v>251</v>
      </c>
      <c r="Q7" s="84"/>
      <c r="R7" s="84" t="s">
        <v>64</v>
      </c>
      <c r="S7" s="84" t="s">
        <v>257</v>
      </c>
      <c r="T7" s="84"/>
      <c r="U7" s="84"/>
      <c r="V7" s="84"/>
      <c r="W7" s="84" t="s">
        <v>261</v>
      </c>
      <c r="X7" s="84" t="s">
        <v>263</v>
      </c>
      <c r="Y7" s="84" t="s">
        <v>267</v>
      </c>
      <c r="Z7" s="84"/>
      <c r="AA7" s="84" t="s">
        <v>273</v>
      </c>
      <c r="AB7" s="84" t="s">
        <v>276</v>
      </c>
      <c r="AC7" s="84"/>
      <c r="AD7" s="84" t="s">
        <v>279</v>
      </c>
      <c r="AE7" s="84" t="s">
        <v>282</v>
      </c>
      <c r="AF7" s="84"/>
      <c r="AG7" s="84"/>
      <c r="AH7" s="123"/>
    </row>
    <row r="8" spans="1:34" x14ac:dyDescent="0.5">
      <c r="B8" s="122"/>
      <c r="C8" s="84"/>
      <c r="D8" s="84" t="s">
        <v>212</v>
      </c>
      <c r="E8" s="84" t="s">
        <v>216</v>
      </c>
      <c r="F8" s="84" t="s">
        <v>221</v>
      </c>
      <c r="G8" s="84"/>
      <c r="H8" s="84"/>
      <c r="I8" s="84"/>
      <c r="J8" s="84" t="s">
        <v>229</v>
      </c>
      <c r="K8" s="84"/>
      <c r="L8" s="84"/>
      <c r="M8" s="84" t="s">
        <v>236</v>
      </c>
      <c r="N8" s="84" t="s">
        <v>240</v>
      </c>
      <c r="O8" s="84" t="s">
        <v>247</v>
      </c>
      <c r="P8" s="84" t="s">
        <v>252</v>
      </c>
      <c r="Q8" s="84"/>
      <c r="R8" s="84" t="s">
        <v>255</v>
      </c>
      <c r="S8" s="84" t="s">
        <v>258</v>
      </c>
      <c r="T8" s="84"/>
      <c r="U8" s="84"/>
      <c r="V8" s="84"/>
      <c r="W8" s="84" t="s">
        <v>262</v>
      </c>
      <c r="X8" s="84" t="s">
        <v>264</v>
      </c>
      <c r="Y8" s="84" t="s">
        <v>268</v>
      </c>
      <c r="Z8" s="84"/>
      <c r="AA8" s="84" t="s">
        <v>274</v>
      </c>
      <c r="AB8" s="84"/>
      <c r="AC8" s="84"/>
      <c r="AD8" s="84" t="s">
        <v>278</v>
      </c>
      <c r="AE8" s="84" t="s">
        <v>283</v>
      </c>
      <c r="AF8" s="84"/>
      <c r="AG8" s="84"/>
      <c r="AH8" s="123"/>
    </row>
    <row r="9" spans="1:34" x14ac:dyDescent="0.5">
      <c r="B9" s="122"/>
      <c r="C9" s="84"/>
      <c r="D9" s="84" t="s">
        <v>213</v>
      </c>
      <c r="E9" s="84" t="s">
        <v>217</v>
      </c>
      <c r="F9" s="84" t="s">
        <v>222</v>
      </c>
      <c r="G9" s="84"/>
      <c r="H9" s="84"/>
      <c r="I9" s="84"/>
      <c r="J9" s="84"/>
      <c r="K9" s="84"/>
      <c r="L9" s="84"/>
      <c r="M9" s="84" t="s">
        <v>237</v>
      </c>
      <c r="N9" s="84" t="s">
        <v>241</v>
      </c>
      <c r="O9" s="84" t="s">
        <v>248</v>
      </c>
      <c r="P9" s="84"/>
      <c r="Q9" s="84"/>
      <c r="R9" s="84"/>
      <c r="S9" s="84"/>
      <c r="T9" s="84"/>
      <c r="U9" s="84"/>
      <c r="V9" s="84"/>
      <c r="W9" s="84"/>
      <c r="X9" s="84" t="s">
        <v>265</v>
      </c>
      <c r="Y9" s="84" t="s">
        <v>269</v>
      </c>
      <c r="Z9" s="84"/>
      <c r="AA9" s="84"/>
      <c r="AB9" s="84"/>
      <c r="AC9" s="84"/>
      <c r="AD9" s="84" t="s">
        <v>280</v>
      </c>
      <c r="AE9" s="84" t="s">
        <v>284</v>
      </c>
      <c r="AF9" s="84"/>
      <c r="AG9" s="84"/>
      <c r="AH9" s="123"/>
    </row>
    <row r="10" spans="1:34" x14ac:dyDescent="0.5">
      <c r="B10" s="122"/>
      <c r="C10" s="84"/>
      <c r="D10" s="84"/>
      <c r="E10" s="84" t="s">
        <v>218</v>
      </c>
      <c r="F10" s="84" t="s">
        <v>223</v>
      </c>
      <c r="G10" s="84"/>
      <c r="H10" s="84"/>
      <c r="I10" s="84"/>
      <c r="J10" s="84"/>
      <c r="K10" s="84"/>
      <c r="L10" s="84"/>
      <c r="M10" s="84"/>
      <c r="N10" s="84" t="s">
        <v>242</v>
      </c>
      <c r="O10" s="84" t="s">
        <v>249</v>
      </c>
      <c r="P10" s="84"/>
      <c r="Q10" s="84"/>
      <c r="R10" s="84"/>
      <c r="S10" s="84"/>
      <c r="T10" s="84"/>
      <c r="U10" s="84"/>
      <c r="V10" s="84"/>
      <c r="W10" s="84"/>
      <c r="X10" s="84"/>
      <c r="Y10" s="84" t="s">
        <v>270</v>
      </c>
      <c r="Z10" s="84"/>
      <c r="AA10" s="84"/>
      <c r="AB10" s="84"/>
      <c r="AC10" s="84"/>
      <c r="AD10" s="84"/>
      <c r="AE10" s="84"/>
      <c r="AF10" s="84"/>
      <c r="AG10" s="84"/>
      <c r="AH10" s="123"/>
    </row>
    <row r="11" spans="1:34" x14ac:dyDescent="0.5">
      <c r="B11" s="122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 t="s">
        <v>243</v>
      </c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 t="s">
        <v>244</v>
      </c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1000</v>
      </c>
      <c r="D15" s="31">
        <f t="shared" ref="D15:AG15" si="1">SUM(D16:D22)</f>
        <v>1860</v>
      </c>
      <c r="E15" s="31">
        <f t="shared" si="1"/>
        <v>1381</v>
      </c>
      <c r="F15" s="31">
        <f t="shared" si="1"/>
        <v>40650</v>
      </c>
      <c r="G15" s="31">
        <f t="shared" si="1"/>
        <v>285</v>
      </c>
      <c r="H15" s="31">
        <f t="shared" si="1"/>
        <v>0</v>
      </c>
      <c r="I15" s="31">
        <f t="shared" si="1"/>
        <v>5000</v>
      </c>
      <c r="J15" s="31">
        <f t="shared" si="1"/>
        <v>54137</v>
      </c>
      <c r="K15" s="31">
        <f t="shared" si="1"/>
        <v>1600</v>
      </c>
      <c r="L15" s="31">
        <f t="shared" si="1"/>
        <v>375</v>
      </c>
      <c r="M15" s="31">
        <f t="shared" si="1"/>
        <v>9557</v>
      </c>
      <c r="N15" s="31">
        <f t="shared" si="1"/>
        <v>10148</v>
      </c>
      <c r="O15" s="31">
        <f t="shared" si="1"/>
        <v>2035</v>
      </c>
      <c r="P15" s="31">
        <f t="shared" si="1"/>
        <v>14637</v>
      </c>
      <c r="Q15" s="31">
        <f t="shared" si="1"/>
        <v>5914</v>
      </c>
      <c r="R15" s="31">
        <f t="shared" si="1"/>
        <v>391</v>
      </c>
      <c r="S15" s="31">
        <f t="shared" si="1"/>
        <v>6765</v>
      </c>
      <c r="T15" s="31">
        <f t="shared" si="1"/>
        <v>0</v>
      </c>
      <c r="U15" s="31">
        <f t="shared" si="1"/>
        <v>0</v>
      </c>
      <c r="V15" s="31">
        <f t="shared" si="1"/>
        <v>980</v>
      </c>
      <c r="W15" s="31">
        <f t="shared" si="1"/>
        <v>290</v>
      </c>
      <c r="X15" s="31">
        <f t="shared" si="1"/>
        <v>870</v>
      </c>
      <c r="Y15" s="31">
        <f t="shared" si="1"/>
        <v>2698</v>
      </c>
      <c r="Z15" s="31">
        <f t="shared" si="1"/>
        <v>130</v>
      </c>
      <c r="AA15" s="31">
        <f t="shared" si="1"/>
        <v>3188</v>
      </c>
      <c r="AB15" s="31">
        <f t="shared" si="1"/>
        <v>1807</v>
      </c>
      <c r="AC15" s="31">
        <f t="shared" si="1"/>
        <v>0</v>
      </c>
      <c r="AD15" s="31">
        <f t="shared" si="1"/>
        <v>8065</v>
      </c>
      <c r="AE15" s="31">
        <f t="shared" si="1"/>
        <v>5973</v>
      </c>
      <c r="AF15" s="31">
        <f t="shared" si="1"/>
        <v>280</v>
      </c>
      <c r="AG15" s="31">
        <f t="shared" si="1"/>
        <v>0</v>
      </c>
      <c r="AH15" s="32">
        <f>SUM(C15:AG15)</f>
        <v>180016</v>
      </c>
    </row>
    <row r="16" spans="1:34" x14ac:dyDescent="0.5">
      <c r="B16" s="60" t="s">
        <v>18</v>
      </c>
      <c r="C16" s="30">
        <v>1000</v>
      </c>
      <c r="D16" s="30"/>
      <c r="E16" s="30">
        <v>145</v>
      </c>
      <c r="F16" s="30">
        <v>185</v>
      </c>
      <c r="G16" s="30"/>
      <c r="H16" s="30"/>
      <c r="I16" s="30"/>
      <c r="J16" s="30"/>
      <c r="K16" s="30"/>
      <c r="L16" s="30">
        <v>150</v>
      </c>
      <c r="M16" s="30">
        <v>255</v>
      </c>
      <c r="N16" s="30">
        <v>546</v>
      </c>
      <c r="O16" s="30">
        <v>1633</v>
      </c>
      <c r="P16" s="30">
        <v>13052</v>
      </c>
      <c r="Q16" s="30"/>
      <c r="R16" s="30">
        <v>241</v>
      </c>
      <c r="S16" s="30">
        <v>3250</v>
      </c>
      <c r="T16" s="30"/>
      <c r="U16" s="30"/>
      <c r="V16" s="30"/>
      <c r="W16" s="30">
        <v>190</v>
      </c>
      <c r="X16" s="30">
        <v>50</v>
      </c>
      <c r="Y16" s="30"/>
      <c r="Z16" s="30"/>
      <c r="AA16" s="30">
        <v>188</v>
      </c>
      <c r="AB16" s="30"/>
      <c r="AC16" s="30"/>
      <c r="AD16" s="30"/>
      <c r="AE16" s="30">
        <v>3560</v>
      </c>
      <c r="AF16" s="30"/>
      <c r="AG16" s="30"/>
      <c r="AH16" s="10"/>
    </row>
    <row r="17" spans="2:34" x14ac:dyDescent="0.5">
      <c r="B17" s="61" t="s">
        <v>19</v>
      </c>
      <c r="C17" s="22"/>
      <c r="D17" s="22">
        <v>720</v>
      </c>
      <c r="E17" s="22">
        <v>805</v>
      </c>
      <c r="F17" s="22"/>
      <c r="G17" s="22"/>
      <c r="H17" s="22"/>
      <c r="I17" s="22"/>
      <c r="J17" s="22"/>
      <c r="K17" s="22"/>
      <c r="L17" s="22">
        <v>225</v>
      </c>
      <c r="M17" s="22"/>
      <c r="N17" s="22">
        <v>8424</v>
      </c>
      <c r="O17" s="22">
        <v>340</v>
      </c>
      <c r="P17" s="22">
        <v>1585</v>
      </c>
      <c r="Q17" s="22"/>
      <c r="R17" s="22"/>
      <c r="S17" s="22"/>
      <c r="T17" s="22"/>
      <c r="U17" s="22"/>
      <c r="V17" s="22">
        <v>980</v>
      </c>
      <c r="W17" s="22"/>
      <c r="X17" s="22"/>
      <c r="Y17" s="22">
        <v>2036</v>
      </c>
      <c r="Z17" s="22"/>
      <c r="AA17" s="22"/>
      <c r="AB17" s="22"/>
      <c r="AC17" s="22"/>
      <c r="AD17" s="22"/>
      <c r="AE17" s="22">
        <v>1929</v>
      </c>
      <c r="AF17" s="22"/>
      <c r="AG17" s="22"/>
      <c r="AH17" s="10"/>
    </row>
    <row r="18" spans="2:34" x14ac:dyDescent="0.5">
      <c r="B18" s="61" t="s">
        <v>20</v>
      </c>
      <c r="C18" s="22"/>
      <c r="D18" s="22"/>
      <c r="E18" s="22">
        <v>311</v>
      </c>
      <c r="F18" s="22">
        <v>420</v>
      </c>
      <c r="G18" s="22">
        <v>240</v>
      </c>
      <c r="H18" s="22"/>
      <c r="I18" s="22">
        <v>5000</v>
      </c>
      <c r="J18" s="22">
        <v>2377</v>
      </c>
      <c r="K18" s="22">
        <v>1600</v>
      </c>
      <c r="L18" s="22"/>
      <c r="M18" s="22">
        <v>9302</v>
      </c>
      <c r="N18" s="22">
        <v>1038</v>
      </c>
      <c r="O18" s="22"/>
      <c r="P18" s="22"/>
      <c r="Q18" s="22">
        <v>5914</v>
      </c>
      <c r="R18" s="22"/>
      <c r="S18" s="22">
        <v>3515</v>
      </c>
      <c r="T18" s="22"/>
      <c r="U18" s="22"/>
      <c r="V18" s="22"/>
      <c r="W18" s="22"/>
      <c r="X18" s="22">
        <v>820</v>
      </c>
      <c r="Y18" s="22"/>
      <c r="Z18" s="22"/>
      <c r="AA18" s="22">
        <v>3000</v>
      </c>
      <c r="AB18" s="22">
        <v>1487</v>
      </c>
      <c r="AC18" s="22"/>
      <c r="AD18" s="22">
        <v>7870</v>
      </c>
      <c r="AE18" s="22"/>
      <c r="AF18" s="22"/>
      <c r="AG18" s="22"/>
      <c r="AH18" s="10"/>
    </row>
    <row r="19" spans="2:34" x14ac:dyDescent="0.5">
      <c r="B19" s="61" t="s">
        <v>21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>
        <v>62</v>
      </c>
      <c r="P19" s="22"/>
      <c r="Q19" s="22"/>
      <c r="R19" s="22"/>
      <c r="S19" s="22"/>
      <c r="T19" s="22"/>
      <c r="U19" s="22"/>
      <c r="V19" s="22"/>
      <c r="W19" s="22"/>
      <c r="X19" s="22"/>
      <c r="Y19" s="22">
        <v>210</v>
      </c>
      <c r="Z19" s="22"/>
      <c r="AA19" s="22"/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22</v>
      </c>
      <c r="C20" s="22"/>
      <c r="D20" s="22">
        <v>850</v>
      </c>
      <c r="E20" s="22"/>
      <c r="F20" s="22">
        <v>40045</v>
      </c>
      <c r="G20" s="22"/>
      <c r="H20" s="22"/>
      <c r="I20" s="22"/>
      <c r="J20" s="22">
        <v>51760</v>
      </c>
      <c r="K20" s="22"/>
      <c r="L20" s="22"/>
      <c r="M20" s="22"/>
      <c r="N20" s="22">
        <v>140</v>
      </c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>
        <v>264</v>
      </c>
      <c r="Z20" s="22"/>
      <c r="AA20" s="22"/>
      <c r="AB20" s="22"/>
      <c r="AC20" s="22"/>
      <c r="AD20" s="22"/>
      <c r="AE20" s="22"/>
      <c r="AF20" s="22">
        <v>280</v>
      </c>
      <c r="AG20" s="22"/>
      <c r="AH20" s="10"/>
    </row>
    <row r="21" spans="2:34" x14ac:dyDescent="0.5">
      <c r="B21" s="61" t="s">
        <v>32</v>
      </c>
      <c r="C21" s="22"/>
      <c r="D21" s="22">
        <v>160</v>
      </c>
      <c r="E21" s="22">
        <v>55</v>
      </c>
      <c r="F21" s="22"/>
      <c r="G21" s="22">
        <v>45</v>
      </c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>
        <v>50</v>
      </c>
      <c r="S21" s="22"/>
      <c r="T21" s="22"/>
      <c r="U21" s="22"/>
      <c r="V21" s="22"/>
      <c r="W21" s="22">
        <v>100</v>
      </c>
      <c r="X21" s="22"/>
      <c r="Y21" s="22">
        <v>188</v>
      </c>
      <c r="Z21" s="22">
        <v>130</v>
      </c>
      <c r="AA21" s="22"/>
      <c r="AB21" s="22">
        <v>320</v>
      </c>
      <c r="AC21" s="22"/>
      <c r="AD21" s="22">
        <v>195</v>
      </c>
      <c r="AE21" s="22"/>
      <c r="AF21" s="22"/>
      <c r="AG21" s="22"/>
      <c r="AH21" s="10"/>
    </row>
    <row r="22" spans="2:34" ht="21.75" thickBot="1" x14ac:dyDescent="0.55000000000000004">
      <c r="B22" s="62" t="s">
        <v>33</v>
      </c>
      <c r="C22" s="33"/>
      <c r="D22" s="33">
        <v>130</v>
      </c>
      <c r="E22" s="33">
        <v>65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>
        <v>100</v>
      </c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>
        <v>484</v>
      </c>
      <c r="AF22" s="33"/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0</v>
      </c>
      <c r="D23" s="37">
        <f t="shared" ref="D23:AG23" si="2">SUM(D24:D36)</f>
        <v>35</v>
      </c>
      <c r="E23" s="37">
        <f t="shared" si="2"/>
        <v>111</v>
      </c>
      <c r="F23" s="37">
        <f t="shared" si="2"/>
        <v>133</v>
      </c>
      <c r="G23" s="37">
        <f t="shared" si="2"/>
        <v>221</v>
      </c>
      <c r="H23" s="37">
        <f t="shared" si="2"/>
        <v>0</v>
      </c>
      <c r="I23" s="37">
        <f t="shared" si="2"/>
        <v>328</v>
      </c>
      <c r="J23" s="37">
        <f t="shared" si="2"/>
        <v>137</v>
      </c>
      <c r="K23" s="37">
        <f t="shared" si="2"/>
        <v>255</v>
      </c>
      <c r="L23" s="37">
        <f t="shared" si="2"/>
        <v>52</v>
      </c>
      <c r="M23" s="37">
        <f t="shared" si="2"/>
        <v>5</v>
      </c>
      <c r="N23" s="37">
        <f t="shared" si="2"/>
        <v>200</v>
      </c>
      <c r="O23" s="37">
        <f t="shared" si="2"/>
        <v>185</v>
      </c>
      <c r="P23" s="37">
        <f t="shared" si="2"/>
        <v>195</v>
      </c>
      <c r="Q23" s="37">
        <f t="shared" si="2"/>
        <v>5</v>
      </c>
      <c r="R23" s="37">
        <f t="shared" si="2"/>
        <v>0</v>
      </c>
      <c r="S23" s="37">
        <f t="shared" si="2"/>
        <v>50</v>
      </c>
      <c r="T23" s="37">
        <f t="shared" si="2"/>
        <v>0</v>
      </c>
      <c r="U23" s="37">
        <f t="shared" si="2"/>
        <v>0</v>
      </c>
      <c r="V23" s="37">
        <f t="shared" si="2"/>
        <v>10</v>
      </c>
      <c r="W23" s="37">
        <f t="shared" si="2"/>
        <v>200</v>
      </c>
      <c r="X23" s="37">
        <f t="shared" si="2"/>
        <v>0</v>
      </c>
      <c r="Y23" s="37">
        <f t="shared" si="2"/>
        <v>59</v>
      </c>
      <c r="Z23" s="37">
        <f t="shared" si="2"/>
        <v>5</v>
      </c>
      <c r="AA23" s="37">
        <f t="shared" si="2"/>
        <v>121</v>
      </c>
      <c r="AB23" s="37">
        <f t="shared" si="2"/>
        <v>60</v>
      </c>
      <c r="AC23" s="37">
        <f t="shared" si="2"/>
        <v>0</v>
      </c>
      <c r="AD23" s="37">
        <f t="shared" si="2"/>
        <v>60</v>
      </c>
      <c r="AE23" s="37">
        <f t="shared" si="2"/>
        <v>60</v>
      </c>
      <c r="AF23" s="37">
        <f t="shared" si="2"/>
        <v>5</v>
      </c>
      <c r="AG23" s="37">
        <f t="shared" si="2"/>
        <v>485</v>
      </c>
      <c r="AH23" s="38">
        <f>SUM(C23:AG23)</f>
        <v>2977</v>
      </c>
    </row>
    <row r="24" spans="2:34" x14ac:dyDescent="0.5">
      <c r="B24" s="35" t="s">
        <v>24</v>
      </c>
      <c r="C24" s="36"/>
      <c r="D24" s="36"/>
      <c r="E24" s="36">
        <v>5</v>
      </c>
      <c r="F24" s="36"/>
      <c r="G24" s="36">
        <v>5</v>
      </c>
      <c r="H24" s="36"/>
      <c r="I24" s="36">
        <v>20</v>
      </c>
      <c r="J24" s="36">
        <v>5</v>
      </c>
      <c r="K24" s="36"/>
      <c r="L24" s="36"/>
      <c r="M24" s="36">
        <v>5</v>
      </c>
      <c r="N24" s="36"/>
      <c r="O24" s="36">
        <v>5</v>
      </c>
      <c r="P24" s="36"/>
      <c r="Q24" s="36">
        <v>5</v>
      </c>
      <c r="R24" s="36"/>
      <c r="S24" s="36"/>
      <c r="T24" s="36"/>
      <c r="U24" s="36"/>
      <c r="V24" s="36">
        <v>5</v>
      </c>
      <c r="W24" s="36"/>
      <c r="X24" s="36"/>
      <c r="Y24" s="36">
        <v>5</v>
      </c>
      <c r="Z24" s="36"/>
      <c r="AA24" s="36"/>
      <c r="AB24" s="36">
        <v>5</v>
      </c>
      <c r="AC24" s="36"/>
      <c r="AD24" s="36"/>
      <c r="AE24" s="36"/>
      <c r="AF24" s="36">
        <v>5</v>
      </c>
      <c r="AG24" s="36"/>
      <c r="AH24" s="6"/>
    </row>
    <row r="25" spans="2:34" x14ac:dyDescent="0.5">
      <c r="B25" s="11" t="s">
        <v>25</v>
      </c>
      <c r="C25" s="8"/>
      <c r="D25" s="8">
        <v>35</v>
      </c>
      <c r="E25" s="8">
        <v>6</v>
      </c>
      <c r="F25" s="8"/>
      <c r="G25" s="8">
        <v>50</v>
      </c>
      <c r="H25" s="8"/>
      <c r="I25" s="8"/>
      <c r="J25" s="8">
        <v>50</v>
      </c>
      <c r="K25" s="8"/>
      <c r="L25" s="8"/>
      <c r="M25" s="8"/>
      <c r="N25" s="8">
        <v>78</v>
      </c>
      <c r="O25" s="8"/>
      <c r="P25" s="8">
        <v>35</v>
      </c>
      <c r="Q25" s="8"/>
      <c r="R25" s="8"/>
      <c r="S25" s="8">
        <v>50</v>
      </c>
      <c r="T25" s="8"/>
      <c r="U25" s="8"/>
      <c r="V25" s="8"/>
      <c r="W25" s="8">
        <v>40</v>
      </c>
      <c r="X25" s="8"/>
      <c r="Y25" s="8">
        <v>50</v>
      </c>
      <c r="Z25" s="8"/>
      <c r="AA25" s="8">
        <v>30</v>
      </c>
      <c r="AB25" s="8"/>
      <c r="AC25" s="8"/>
      <c r="AD25" s="8"/>
      <c r="AE25" s="8"/>
      <c r="AF25" s="8"/>
      <c r="AG25" s="8">
        <v>50</v>
      </c>
      <c r="AH25" s="6"/>
    </row>
    <row r="26" spans="2:34" x14ac:dyDescent="0.5">
      <c r="B26" s="11" t="s">
        <v>26</v>
      </c>
      <c r="C26" s="8"/>
      <c r="D26" s="8"/>
      <c r="E26" s="8"/>
      <c r="F26" s="8"/>
      <c r="G26" s="8">
        <v>31</v>
      </c>
      <c r="H26" s="8"/>
      <c r="I26" s="8">
        <v>25</v>
      </c>
      <c r="J26" s="8">
        <v>50</v>
      </c>
      <c r="K26" s="8">
        <v>160</v>
      </c>
      <c r="L26" s="8">
        <v>20</v>
      </c>
      <c r="M26" s="8"/>
      <c r="N26" s="8">
        <v>65</v>
      </c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>
        <v>25</v>
      </c>
      <c r="AB26" s="8"/>
      <c r="AC26" s="8"/>
      <c r="AD26" s="8">
        <v>60</v>
      </c>
      <c r="AE26" s="8">
        <v>60</v>
      </c>
      <c r="AF26" s="8"/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/>
      <c r="H27" s="8"/>
      <c r="I27" s="8"/>
      <c r="J27" s="8">
        <v>27</v>
      </c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>
        <v>160</v>
      </c>
      <c r="X27" s="8"/>
      <c r="Y27" s="8"/>
      <c r="Z27" s="8"/>
      <c r="AA27" s="8"/>
      <c r="AB27" s="8"/>
      <c r="AC27" s="8"/>
      <c r="AD27" s="8"/>
      <c r="AE27" s="8"/>
      <c r="AF27" s="8"/>
      <c r="AG27" s="8">
        <v>160</v>
      </c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>
        <v>158</v>
      </c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>
        <v>6</v>
      </c>
      <c r="G33" s="8"/>
      <c r="H33" s="8"/>
      <c r="I33" s="8"/>
      <c r="J33" s="8"/>
      <c r="K33" s="8"/>
      <c r="L33" s="8"/>
      <c r="M33" s="8"/>
      <c r="N33" s="8"/>
      <c r="O33" s="8">
        <v>50</v>
      </c>
      <c r="P33" s="8">
        <v>50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>
        <v>5</v>
      </c>
      <c r="AC33" s="8"/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/>
      <c r="F34" s="8">
        <v>115</v>
      </c>
      <c r="G34" s="8"/>
      <c r="H34" s="8"/>
      <c r="I34" s="8">
        <v>100</v>
      </c>
      <c r="J34" s="8"/>
      <c r="K34" s="8">
        <v>25</v>
      </c>
      <c r="L34" s="8">
        <v>30</v>
      </c>
      <c r="M34" s="8"/>
      <c r="N34" s="8"/>
      <c r="O34" s="8">
        <v>125</v>
      </c>
      <c r="P34" s="8">
        <v>40</v>
      </c>
      <c r="Q34" s="8"/>
      <c r="R34" s="8"/>
      <c r="S34" s="8"/>
      <c r="T34" s="8"/>
      <c r="U34" s="8"/>
      <c r="V34" s="8">
        <v>5</v>
      </c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35</v>
      </c>
      <c r="AH34" s="6"/>
    </row>
    <row r="35" spans="2:34" x14ac:dyDescent="0.5">
      <c r="B35" s="11" t="s">
        <v>48</v>
      </c>
      <c r="C35" s="8"/>
      <c r="D35" s="8"/>
      <c r="E35" s="8">
        <v>100</v>
      </c>
      <c r="F35" s="8">
        <v>12</v>
      </c>
      <c r="G35" s="8">
        <v>135</v>
      </c>
      <c r="H35" s="8"/>
      <c r="I35" s="8">
        <v>25</v>
      </c>
      <c r="J35" s="8">
        <v>5</v>
      </c>
      <c r="K35" s="8">
        <v>70</v>
      </c>
      <c r="L35" s="8">
        <v>2</v>
      </c>
      <c r="M35" s="8"/>
      <c r="N35" s="8">
        <v>57</v>
      </c>
      <c r="O35" s="8">
        <v>5</v>
      </c>
      <c r="P35" s="8">
        <v>70</v>
      </c>
      <c r="Q35" s="8"/>
      <c r="R35" s="8"/>
      <c r="S35" s="8"/>
      <c r="T35" s="8"/>
      <c r="U35" s="8"/>
      <c r="V35" s="8"/>
      <c r="W35" s="8"/>
      <c r="X35" s="8"/>
      <c r="Y35" s="8">
        <v>4</v>
      </c>
      <c r="Z35" s="8">
        <v>5</v>
      </c>
      <c r="AA35" s="8">
        <v>66</v>
      </c>
      <c r="AB35" s="8">
        <v>50</v>
      </c>
      <c r="AC35" s="8"/>
      <c r="AD35" s="8"/>
      <c r="AE35" s="8"/>
      <c r="AF35" s="8"/>
      <c r="AG35" s="8">
        <v>240</v>
      </c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>
        <v>564</v>
      </c>
      <c r="D37" s="45">
        <v>641</v>
      </c>
      <c r="E37" s="45">
        <v>872</v>
      </c>
      <c r="F37" s="87">
        <v>65075</v>
      </c>
      <c r="G37" s="87">
        <v>5772</v>
      </c>
      <c r="H37" s="45"/>
      <c r="I37" s="87">
        <v>7996</v>
      </c>
      <c r="J37" s="87">
        <v>2464</v>
      </c>
      <c r="K37" s="45">
        <v>204</v>
      </c>
      <c r="L37" s="87">
        <v>1267</v>
      </c>
      <c r="M37" s="87">
        <v>6227</v>
      </c>
      <c r="N37" s="87">
        <v>33269</v>
      </c>
      <c r="O37" s="45">
        <v>892</v>
      </c>
      <c r="P37" s="87">
        <v>2939</v>
      </c>
      <c r="Q37" s="87">
        <v>4695</v>
      </c>
      <c r="R37" s="87">
        <v>3241</v>
      </c>
      <c r="S37" s="87">
        <v>4301</v>
      </c>
      <c r="T37" s="45"/>
      <c r="U37" s="45">
        <v>3246</v>
      </c>
      <c r="V37" s="78">
        <v>3246</v>
      </c>
      <c r="W37" s="44">
        <v>2358</v>
      </c>
      <c r="X37" s="87">
        <v>2898</v>
      </c>
      <c r="Y37" s="87">
        <v>7831</v>
      </c>
      <c r="Z37" s="87">
        <v>217</v>
      </c>
      <c r="AA37" s="87">
        <v>5232</v>
      </c>
      <c r="AB37" s="87">
        <v>296</v>
      </c>
      <c r="AC37" s="44"/>
      <c r="AD37" s="44">
        <v>2330</v>
      </c>
      <c r="AE37" s="44">
        <v>6645</v>
      </c>
      <c r="AF37" s="44">
        <v>4317</v>
      </c>
      <c r="AG37" s="44">
        <v>3966</v>
      </c>
      <c r="AH37" s="46">
        <f>SUM(C37:AG37)</f>
        <v>183001</v>
      </c>
    </row>
    <row r="38" spans="2:34" x14ac:dyDescent="0.5">
      <c r="B38" s="42" t="s">
        <v>3</v>
      </c>
      <c r="C38" s="43">
        <v>183</v>
      </c>
      <c r="D38" s="43"/>
      <c r="E38" s="43">
        <v>15</v>
      </c>
      <c r="F38" s="43">
        <v>199</v>
      </c>
      <c r="G38" s="88">
        <v>5737</v>
      </c>
      <c r="H38" s="43"/>
      <c r="I38" s="43">
        <v>180</v>
      </c>
      <c r="J38" s="43">
        <v>170</v>
      </c>
      <c r="K38" s="43">
        <v>105</v>
      </c>
      <c r="L38" s="43">
        <v>22</v>
      </c>
      <c r="M38" s="43">
        <v>61</v>
      </c>
      <c r="N38" s="88">
        <v>1219</v>
      </c>
      <c r="O38" s="43">
        <v>789</v>
      </c>
      <c r="P38" s="43">
        <v>845</v>
      </c>
      <c r="Q38" s="43">
        <v>375</v>
      </c>
      <c r="R38" s="43">
        <v>288</v>
      </c>
      <c r="S38" s="43"/>
      <c r="T38" s="43"/>
      <c r="U38" s="43"/>
      <c r="V38" s="43"/>
      <c r="W38" s="88">
        <v>1703</v>
      </c>
      <c r="X38" s="88">
        <v>2334</v>
      </c>
      <c r="Y38" s="88">
        <v>1051</v>
      </c>
      <c r="Z38" s="88">
        <v>105</v>
      </c>
      <c r="AA38" s="88">
        <v>1615</v>
      </c>
      <c r="AB38" s="43"/>
      <c r="AC38" s="95"/>
      <c r="AD38" s="95"/>
      <c r="AE38" s="95">
        <v>2268</v>
      </c>
      <c r="AF38" s="95">
        <v>251</v>
      </c>
      <c r="AG38" s="95">
        <v>90</v>
      </c>
      <c r="AH38" s="7"/>
    </row>
    <row r="39" spans="2:34" x14ac:dyDescent="0.5">
      <c r="B39" s="15" t="s">
        <v>10</v>
      </c>
      <c r="C39" s="9">
        <v>120</v>
      </c>
      <c r="D39" s="9"/>
      <c r="E39" s="9"/>
      <c r="F39" s="9">
        <v>44</v>
      </c>
      <c r="G39" s="9">
        <v>194</v>
      </c>
      <c r="H39" s="9"/>
      <c r="I39" s="9">
        <v>388</v>
      </c>
      <c r="J39" s="9">
        <v>144</v>
      </c>
      <c r="K39" s="9">
        <v>298</v>
      </c>
      <c r="L39" s="9"/>
      <c r="M39" s="9">
        <v>38</v>
      </c>
      <c r="N39" s="9">
        <v>109</v>
      </c>
      <c r="O39" s="9">
        <v>400</v>
      </c>
      <c r="P39" s="9">
        <v>623</v>
      </c>
      <c r="Q39" s="9">
        <v>151</v>
      </c>
      <c r="R39" s="9">
        <v>192</v>
      </c>
      <c r="S39" s="9"/>
      <c r="T39" s="9"/>
      <c r="U39" s="9"/>
      <c r="V39" s="9"/>
      <c r="W39" s="9">
        <v>200</v>
      </c>
      <c r="X39" s="9">
        <v>459</v>
      </c>
      <c r="Y39" s="9">
        <v>352</v>
      </c>
      <c r="Z39" s="9">
        <v>56</v>
      </c>
      <c r="AA39" s="9">
        <v>105</v>
      </c>
      <c r="AB39" s="9"/>
      <c r="AC39" s="9"/>
      <c r="AD39" s="9"/>
      <c r="AE39" s="9">
        <v>153</v>
      </c>
      <c r="AF39" s="9">
        <v>23</v>
      </c>
      <c r="AG39" s="9">
        <v>23</v>
      </c>
      <c r="AH39" s="14"/>
    </row>
    <row r="40" spans="2:34" x14ac:dyDescent="0.5">
      <c r="B40" s="15" t="s">
        <v>11</v>
      </c>
      <c r="C40" s="9">
        <v>3</v>
      </c>
      <c r="D40" s="9"/>
      <c r="E40" s="9"/>
      <c r="F40" s="9">
        <v>4</v>
      </c>
      <c r="G40" s="9">
        <v>106</v>
      </c>
      <c r="H40" s="9"/>
      <c r="I40" s="9">
        <v>1</v>
      </c>
      <c r="J40" s="9">
        <v>3</v>
      </c>
      <c r="K40" s="9"/>
      <c r="L40" s="9"/>
      <c r="M40" s="9">
        <v>1</v>
      </c>
      <c r="N40" s="9">
        <v>25</v>
      </c>
      <c r="O40" s="9">
        <v>11</v>
      </c>
      <c r="P40" s="9">
        <v>11</v>
      </c>
      <c r="Q40" s="9">
        <v>7</v>
      </c>
      <c r="R40" s="9">
        <v>5</v>
      </c>
      <c r="S40" s="9"/>
      <c r="T40" s="9"/>
      <c r="U40" s="9"/>
      <c r="V40" s="9"/>
      <c r="W40" s="9">
        <v>37</v>
      </c>
      <c r="X40" s="9">
        <v>43</v>
      </c>
      <c r="Y40" s="9">
        <v>22</v>
      </c>
      <c r="Z40" s="9">
        <v>2</v>
      </c>
      <c r="AA40" s="9">
        <v>34</v>
      </c>
      <c r="AB40" s="9"/>
      <c r="AC40" s="9"/>
      <c r="AD40" s="9"/>
      <c r="AE40" s="9">
        <v>44</v>
      </c>
      <c r="AF40" s="9">
        <v>5</v>
      </c>
      <c r="AG40" s="9">
        <v>1</v>
      </c>
      <c r="AH40" s="7"/>
    </row>
    <row r="41" spans="2:34" x14ac:dyDescent="0.5">
      <c r="B41" s="16" t="s">
        <v>5</v>
      </c>
      <c r="C41" s="97">
        <f>SUM(C37-C38)</f>
        <v>381</v>
      </c>
      <c r="D41" s="97">
        <f t="shared" ref="D41:AG41" si="3">SUM(D37-D38)</f>
        <v>641</v>
      </c>
      <c r="E41" s="97">
        <f t="shared" si="3"/>
        <v>857</v>
      </c>
      <c r="F41" s="97">
        <f t="shared" si="3"/>
        <v>64876</v>
      </c>
      <c r="G41" s="97">
        <f t="shared" si="3"/>
        <v>35</v>
      </c>
      <c r="H41" s="97">
        <f t="shared" si="3"/>
        <v>0</v>
      </c>
      <c r="I41" s="97">
        <f t="shared" si="3"/>
        <v>7816</v>
      </c>
      <c r="J41" s="97">
        <f t="shared" si="3"/>
        <v>2294</v>
      </c>
      <c r="K41" s="97">
        <f t="shared" si="3"/>
        <v>99</v>
      </c>
      <c r="L41" s="97">
        <f t="shared" si="3"/>
        <v>1245</v>
      </c>
      <c r="M41" s="97">
        <f t="shared" si="3"/>
        <v>6166</v>
      </c>
      <c r="N41" s="97">
        <f t="shared" si="3"/>
        <v>32050</v>
      </c>
      <c r="O41" s="97">
        <f t="shared" si="3"/>
        <v>103</v>
      </c>
      <c r="P41" s="97">
        <f t="shared" si="3"/>
        <v>2094</v>
      </c>
      <c r="Q41" s="97">
        <f t="shared" si="3"/>
        <v>4320</v>
      </c>
      <c r="R41" s="97">
        <f t="shared" si="3"/>
        <v>2953</v>
      </c>
      <c r="S41" s="97">
        <f t="shared" si="3"/>
        <v>4301</v>
      </c>
      <c r="T41" s="97">
        <f t="shared" si="3"/>
        <v>0</v>
      </c>
      <c r="U41" s="97"/>
      <c r="V41" s="97">
        <f t="shared" si="3"/>
        <v>3246</v>
      </c>
      <c r="W41" s="97">
        <f t="shared" si="3"/>
        <v>655</v>
      </c>
      <c r="X41" s="97">
        <f t="shared" si="3"/>
        <v>564</v>
      </c>
      <c r="Y41" s="97">
        <f t="shared" si="3"/>
        <v>6780</v>
      </c>
      <c r="Z41" s="97">
        <f t="shared" si="3"/>
        <v>112</v>
      </c>
      <c r="AA41" s="97">
        <f t="shared" si="3"/>
        <v>3617</v>
      </c>
      <c r="AB41" s="97">
        <f t="shared" si="3"/>
        <v>296</v>
      </c>
      <c r="AC41" s="97">
        <f t="shared" si="3"/>
        <v>0</v>
      </c>
      <c r="AD41" s="97">
        <f t="shared" si="3"/>
        <v>2330</v>
      </c>
      <c r="AE41" s="97">
        <f t="shared" si="3"/>
        <v>4377</v>
      </c>
      <c r="AF41" s="97">
        <f t="shared" si="3"/>
        <v>4066</v>
      </c>
      <c r="AG41" s="97">
        <f t="shared" si="3"/>
        <v>3876</v>
      </c>
      <c r="AH41" s="13">
        <f>SUM(C41:AG41)</f>
        <v>160150</v>
      </c>
    </row>
    <row r="42" spans="2:34" x14ac:dyDescent="0.5">
      <c r="B42" s="16" t="s">
        <v>8</v>
      </c>
      <c r="C42" s="5">
        <v>146</v>
      </c>
      <c r="D42" s="5"/>
      <c r="E42" s="5">
        <v>118</v>
      </c>
      <c r="F42" s="5">
        <v>8600</v>
      </c>
      <c r="G42" s="5"/>
      <c r="H42" s="5"/>
      <c r="I42" s="5">
        <v>332</v>
      </c>
      <c r="J42" s="5">
        <v>807</v>
      </c>
      <c r="K42" s="5">
        <v>132</v>
      </c>
      <c r="L42" s="5"/>
      <c r="M42" s="5">
        <v>20</v>
      </c>
      <c r="N42" s="92">
        <v>1059</v>
      </c>
      <c r="O42" s="5">
        <v>40</v>
      </c>
      <c r="P42" s="5">
        <v>367</v>
      </c>
      <c r="Q42" s="5">
        <v>100</v>
      </c>
      <c r="R42" s="5">
        <v>342</v>
      </c>
      <c r="S42" s="5">
        <v>616</v>
      </c>
      <c r="T42" s="5"/>
      <c r="U42" s="5"/>
      <c r="V42" s="5">
        <v>770</v>
      </c>
      <c r="W42" s="5">
        <v>56</v>
      </c>
      <c r="X42" s="5">
        <v>50</v>
      </c>
      <c r="Y42" s="5">
        <v>393</v>
      </c>
      <c r="Z42" s="5">
        <v>0</v>
      </c>
      <c r="AA42" s="5">
        <v>200</v>
      </c>
      <c r="AB42" s="5"/>
      <c r="AC42" s="92"/>
      <c r="AD42" s="5">
        <v>0</v>
      </c>
      <c r="AE42" s="5">
        <v>236</v>
      </c>
      <c r="AF42" s="5">
        <v>451</v>
      </c>
      <c r="AG42" s="5">
        <v>1279</v>
      </c>
      <c r="AH42" s="12"/>
    </row>
    <row r="43" spans="2:34" ht="18" customHeight="1" thickBot="1" x14ac:dyDescent="0.55000000000000004">
      <c r="B43" s="47" t="s">
        <v>7</v>
      </c>
      <c r="C43" s="48">
        <v>5</v>
      </c>
      <c r="D43" s="48"/>
      <c r="E43" s="48">
        <v>14</v>
      </c>
      <c r="F43" s="48">
        <v>909</v>
      </c>
      <c r="G43" s="48">
        <v>1</v>
      </c>
      <c r="H43" s="48"/>
      <c r="I43" s="48">
        <v>129</v>
      </c>
      <c r="J43" s="48">
        <v>34</v>
      </c>
      <c r="K43" s="48">
        <v>2</v>
      </c>
      <c r="L43" s="48"/>
      <c r="M43" s="48">
        <v>197</v>
      </c>
      <c r="N43" s="48">
        <v>502</v>
      </c>
      <c r="O43" s="48">
        <v>1</v>
      </c>
      <c r="P43" s="48">
        <v>36</v>
      </c>
      <c r="Q43" s="48">
        <v>76</v>
      </c>
      <c r="R43" s="48">
        <v>61</v>
      </c>
      <c r="S43" s="48">
        <v>78</v>
      </c>
      <c r="T43" s="48"/>
      <c r="U43" s="5"/>
      <c r="V43" s="48">
        <v>60</v>
      </c>
      <c r="W43" s="48">
        <v>5</v>
      </c>
      <c r="X43" s="48">
        <v>10</v>
      </c>
      <c r="Y43" s="48">
        <v>124</v>
      </c>
      <c r="Z43" s="48">
        <v>2</v>
      </c>
      <c r="AA43" s="48">
        <v>55</v>
      </c>
      <c r="AB43" s="93"/>
      <c r="AC43" s="48"/>
      <c r="AD43" s="48">
        <v>37</v>
      </c>
      <c r="AE43" s="48">
        <v>78</v>
      </c>
      <c r="AF43" s="48">
        <v>81</v>
      </c>
      <c r="AG43" s="48">
        <v>56</v>
      </c>
      <c r="AH43" s="96"/>
    </row>
    <row r="44" spans="2:34" ht="21.75" thickBot="1" x14ac:dyDescent="0.55000000000000004">
      <c r="B44" s="65" t="s">
        <v>9</v>
      </c>
      <c r="C44" s="49"/>
      <c r="D44" s="49"/>
      <c r="E44" s="49">
        <v>100</v>
      </c>
      <c r="F44" s="49"/>
      <c r="G44" s="49"/>
      <c r="H44" s="49"/>
      <c r="I44" s="49"/>
      <c r="J44" s="49">
        <v>697</v>
      </c>
      <c r="K44" s="49"/>
      <c r="L44" s="49"/>
      <c r="M44" s="49"/>
      <c r="N44" s="49">
        <v>700</v>
      </c>
      <c r="O44" s="49">
        <v>140</v>
      </c>
      <c r="P44" s="49">
        <v>1245</v>
      </c>
      <c r="Q44" s="49">
        <v>0</v>
      </c>
      <c r="R44" s="49"/>
      <c r="S44" s="49">
        <v>480</v>
      </c>
      <c r="T44" s="49"/>
      <c r="U44" s="49"/>
      <c r="V44" s="49"/>
      <c r="W44" s="49">
        <v>300</v>
      </c>
      <c r="X44" s="49">
        <v>100</v>
      </c>
      <c r="Y44" s="49">
        <v>374</v>
      </c>
      <c r="Z44" s="49"/>
      <c r="AA44" s="49">
        <v>250</v>
      </c>
      <c r="AB44" s="49"/>
      <c r="AC44" s="49"/>
      <c r="AD44" s="49"/>
      <c r="AE44" s="49">
        <v>498</v>
      </c>
      <c r="AF44" s="49">
        <v>627</v>
      </c>
      <c r="AG44" s="49"/>
      <c r="AH44" s="50"/>
    </row>
    <row r="45" spans="2:34" ht="21.75" thickBot="1" x14ac:dyDescent="0.55000000000000004">
      <c r="B45" s="66" t="s">
        <v>14</v>
      </c>
      <c r="C45" s="51">
        <f>C44+C42+C39</f>
        <v>266</v>
      </c>
      <c r="D45" s="51">
        <f t="shared" ref="D45:AG45" si="4">D44+D42+D39</f>
        <v>0</v>
      </c>
      <c r="E45" s="51">
        <f t="shared" si="4"/>
        <v>218</v>
      </c>
      <c r="F45" s="51">
        <f t="shared" si="4"/>
        <v>8644</v>
      </c>
      <c r="G45" s="51">
        <f t="shared" si="4"/>
        <v>194</v>
      </c>
      <c r="H45" s="51">
        <f t="shared" si="4"/>
        <v>0</v>
      </c>
      <c r="I45" s="51">
        <f t="shared" si="4"/>
        <v>720</v>
      </c>
      <c r="J45" s="51">
        <f t="shared" si="4"/>
        <v>1648</v>
      </c>
      <c r="K45" s="51">
        <f t="shared" si="4"/>
        <v>430</v>
      </c>
      <c r="L45" s="51">
        <f t="shared" si="4"/>
        <v>0</v>
      </c>
      <c r="M45" s="51">
        <f t="shared" si="4"/>
        <v>58</v>
      </c>
      <c r="N45" s="51">
        <f t="shared" si="4"/>
        <v>1868</v>
      </c>
      <c r="O45" s="51">
        <f t="shared" si="4"/>
        <v>580</v>
      </c>
      <c r="P45" s="51">
        <f t="shared" si="4"/>
        <v>2235</v>
      </c>
      <c r="Q45" s="51">
        <f t="shared" si="4"/>
        <v>251</v>
      </c>
      <c r="R45" s="51">
        <f t="shared" si="4"/>
        <v>534</v>
      </c>
      <c r="S45" s="51">
        <f t="shared" si="4"/>
        <v>1096</v>
      </c>
      <c r="T45" s="51"/>
      <c r="U45" s="51"/>
      <c r="V45" s="51">
        <f t="shared" si="4"/>
        <v>770</v>
      </c>
      <c r="W45" s="51">
        <f t="shared" si="4"/>
        <v>556</v>
      </c>
      <c r="X45" s="51">
        <f t="shared" si="4"/>
        <v>609</v>
      </c>
      <c r="Y45" s="51">
        <f t="shared" si="4"/>
        <v>1119</v>
      </c>
      <c r="Z45" s="51">
        <f t="shared" si="4"/>
        <v>56</v>
      </c>
      <c r="AA45" s="51">
        <f t="shared" si="4"/>
        <v>555</v>
      </c>
      <c r="AB45" s="51">
        <f t="shared" si="4"/>
        <v>0</v>
      </c>
      <c r="AC45" s="51">
        <f t="shared" si="4"/>
        <v>0</v>
      </c>
      <c r="AD45" s="51">
        <f t="shared" si="4"/>
        <v>0</v>
      </c>
      <c r="AE45" s="51">
        <f t="shared" si="4"/>
        <v>887</v>
      </c>
      <c r="AF45" s="51">
        <f t="shared" si="4"/>
        <v>1101</v>
      </c>
      <c r="AG45" s="51">
        <f t="shared" si="4"/>
        <v>1302</v>
      </c>
      <c r="AH45" s="52"/>
    </row>
    <row r="46" spans="2:34" ht="21.75" thickBot="1" x14ac:dyDescent="0.55000000000000004">
      <c r="B46" s="67" t="s">
        <v>6</v>
      </c>
      <c r="C46" s="77">
        <f>17399-C37</f>
        <v>16835</v>
      </c>
      <c r="D46" s="77">
        <f>C46-D37</f>
        <v>16194</v>
      </c>
      <c r="E46" s="77">
        <f>D46-E37</f>
        <v>15322</v>
      </c>
      <c r="F46" s="77">
        <v>23747</v>
      </c>
      <c r="G46" s="77">
        <f>F46-G37</f>
        <v>17975</v>
      </c>
      <c r="H46" s="53"/>
      <c r="I46" s="77">
        <f>G46-I37</f>
        <v>9979</v>
      </c>
      <c r="J46" s="77">
        <f>I46-J37</f>
        <v>7515</v>
      </c>
      <c r="K46" s="77">
        <f>J46-K37</f>
        <v>7311</v>
      </c>
      <c r="L46" s="77">
        <f>K46-L37</f>
        <v>6044</v>
      </c>
      <c r="M46" s="112">
        <f>36044-M37</f>
        <v>29817</v>
      </c>
      <c r="N46" s="112">
        <f>59817-N37</f>
        <v>26548</v>
      </c>
      <c r="O46" s="112">
        <f>N46-O37</f>
        <v>25656</v>
      </c>
      <c r="P46" s="112">
        <f>O46-P37</f>
        <v>22717</v>
      </c>
      <c r="Q46" s="112">
        <f>P46-Q37</f>
        <v>18022</v>
      </c>
      <c r="R46" s="112">
        <f>Q46-R37</f>
        <v>14781</v>
      </c>
      <c r="S46" s="112">
        <f>R46-S37</f>
        <v>10480</v>
      </c>
      <c r="T46" s="112"/>
      <c r="U46" s="112"/>
      <c r="V46" s="112">
        <f>S46-V37</f>
        <v>7234</v>
      </c>
      <c r="W46" s="77">
        <f>V46-W37</f>
        <v>4876</v>
      </c>
      <c r="X46" s="77">
        <f>W46-X37</f>
        <v>1978</v>
      </c>
      <c r="Y46" s="77">
        <f>31978-Y37</f>
        <v>24147</v>
      </c>
      <c r="Z46" s="77">
        <f>Y46-Z37</f>
        <v>23930</v>
      </c>
      <c r="AA46" s="77">
        <f>Z46-AA37</f>
        <v>18698</v>
      </c>
      <c r="AB46" s="77">
        <f>AA46-AB37</f>
        <v>18402</v>
      </c>
      <c r="AC46" s="77"/>
      <c r="AD46" s="77">
        <f>AB46-AD37</f>
        <v>16072</v>
      </c>
      <c r="AE46" s="77">
        <f>AD46-AE37</f>
        <v>9427</v>
      </c>
      <c r="AF46" s="77">
        <f>AE46-AF37</f>
        <v>5110</v>
      </c>
      <c r="AG46" s="77">
        <f>AF46-AG37</f>
        <v>1144</v>
      </c>
      <c r="AH46" s="54"/>
    </row>
    <row r="47" spans="2:34" ht="21.75" thickBot="1" x14ac:dyDescent="0.55000000000000004">
      <c r="B47" s="23" t="s">
        <v>31</v>
      </c>
      <c r="C47" s="55">
        <f>(C38+C81+C82+C83)-C37</f>
        <v>59</v>
      </c>
      <c r="D47" s="55">
        <f>(D38+D81+D82+D83)-D37</f>
        <v>1053</v>
      </c>
      <c r="E47" s="55">
        <f>(E38+E81+E82+E83)-E37</f>
        <v>488</v>
      </c>
      <c r="F47" s="55">
        <f>(F38+F81+F82+F83)-F37</f>
        <v>25769</v>
      </c>
      <c r="G47" s="55">
        <f>(G38+G81+G82+G83)-G37</f>
        <v>10</v>
      </c>
      <c r="H47" s="55">
        <f t="shared" ref="H47:O47" si="5">(H38+H81+H82+H83)-H37</f>
        <v>0</v>
      </c>
      <c r="I47" s="55">
        <f t="shared" si="5"/>
        <v>2256</v>
      </c>
      <c r="J47" s="55">
        <f t="shared" si="5"/>
        <v>848</v>
      </c>
      <c r="K47" s="55">
        <f t="shared" si="5"/>
        <v>185</v>
      </c>
      <c r="L47" s="55">
        <f t="shared" si="5"/>
        <v>450</v>
      </c>
      <c r="M47" s="55">
        <f t="shared" si="5"/>
        <v>2136</v>
      </c>
      <c r="N47" s="55">
        <f t="shared" si="5"/>
        <v>6221</v>
      </c>
      <c r="O47" s="55">
        <f t="shared" si="5"/>
        <v>19</v>
      </c>
      <c r="P47" s="55">
        <f>(P38+P81+P82+P83)-P37</f>
        <v>981</v>
      </c>
      <c r="Q47" s="55">
        <f>(Q38+Q81+Q82+Q83)-Q37</f>
        <v>2045</v>
      </c>
      <c r="R47" s="55">
        <f>(R38+R81+R82+R83)-R37</f>
        <v>1469</v>
      </c>
      <c r="S47" s="55">
        <f>(S38+S81+S82+S83)-S37</f>
        <v>1805</v>
      </c>
      <c r="T47" s="55">
        <f t="shared" ref="T47:AG47" si="6">(T38+T81+T82+T83)-T37</f>
        <v>0</v>
      </c>
      <c r="U47" s="55"/>
      <c r="V47" s="55">
        <f t="shared" si="6"/>
        <v>1219</v>
      </c>
      <c r="W47" s="55">
        <f t="shared" si="6"/>
        <v>95</v>
      </c>
      <c r="X47" s="55">
        <f t="shared" si="6"/>
        <v>290</v>
      </c>
      <c r="Y47" s="55">
        <f t="shared" si="6"/>
        <v>1575</v>
      </c>
      <c r="Z47" s="55">
        <f t="shared" si="6"/>
        <v>18</v>
      </c>
      <c r="AA47" s="55">
        <f t="shared" si="6"/>
        <v>1023</v>
      </c>
      <c r="AB47" s="55">
        <f t="shared" si="6"/>
        <v>24</v>
      </c>
      <c r="AC47" s="55">
        <f t="shared" si="6"/>
        <v>0</v>
      </c>
      <c r="AD47" s="55">
        <f t="shared" si="6"/>
        <v>328</v>
      </c>
      <c r="AE47" s="55">
        <f t="shared" si="6"/>
        <v>877</v>
      </c>
      <c r="AF47" s="55">
        <f t="shared" si="6"/>
        <v>1198</v>
      </c>
      <c r="AG47" s="55">
        <f t="shared" si="6"/>
        <v>1844</v>
      </c>
      <c r="AH47" s="56">
        <f>SUM(C47:AG47)</f>
        <v>54285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>
        <v>45536</v>
      </c>
      <c r="D49" s="71">
        <v>45537</v>
      </c>
      <c r="E49" s="71">
        <v>45538</v>
      </c>
      <c r="F49" s="71">
        <v>45539</v>
      </c>
      <c r="G49" s="71">
        <v>45540</v>
      </c>
      <c r="H49" s="71">
        <v>45541</v>
      </c>
      <c r="I49" s="71">
        <v>45542</v>
      </c>
      <c r="J49" s="71">
        <v>45543</v>
      </c>
      <c r="K49" s="71">
        <v>45544</v>
      </c>
      <c r="L49" s="71">
        <v>45545</v>
      </c>
      <c r="M49" s="71">
        <v>45546</v>
      </c>
      <c r="N49" s="71">
        <v>45547</v>
      </c>
      <c r="O49" s="71">
        <v>45548</v>
      </c>
      <c r="P49" s="71">
        <v>45549</v>
      </c>
      <c r="Q49" s="71">
        <v>45550</v>
      </c>
      <c r="R49" s="71">
        <v>45551</v>
      </c>
      <c r="S49" s="71">
        <v>45552</v>
      </c>
      <c r="T49" s="71">
        <v>45553</v>
      </c>
      <c r="U49" s="71">
        <v>45554</v>
      </c>
      <c r="V49" s="71">
        <v>45555</v>
      </c>
      <c r="W49" s="71">
        <v>45556</v>
      </c>
      <c r="X49" s="71">
        <v>45557</v>
      </c>
      <c r="Y49" s="71">
        <v>45558</v>
      </c>
      <c r="Z49" s="71">
        <v>45559</v>
      </c>
      <c r="AA49" s="71">
        <v>45560</v>
      </c>
      <c r="AB49" s="71">
        <v>45561</v>
      </c>
      <c r="AC49" s="71">
        <v>45562</v>
      </c>
      <c r="AD49" s="71">
        <v>45563</v>
      </c>
      <c r="AE49" s="71">
        <v>45564</v>
      </c>
      <c r="AF49" s="71">
        <v>45565</v>
      </c>
      <c r="AG49" s="71"/>
      <c r="AH49" s="72" t="s">
        <v>17</v>
      </c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/>
      <c r="X56" s="2"/>
      <c r="Y56" s="2"/>
      <c r="Z56" s="89"/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 t="s">
        <v>38</v>
      </c>
      <c r="AA59" s="69"/>
      <c r="AB59" s="69" t="s">
        <v>43</v>
      </c>
      <c r="AC59" s="69" t="s">
        <v>44</v>
      </c>
      <c r="AD59" s="69" t="s">
        <v>45</v>
      </c>
      <c r="AE59" s="69"/>
      <c r="AF59" s="69" t="s">
        <v>49</v>
      </c>
      <c r="AG59" s="69"/>
      <c r="AH59" s="118"/>
    </row>
    <row r="60" spans="2:34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>
        <v>3015</v>
      </c>
      <c r="AA68" s="4"/>
      <c r="AB68" s="4">
        <v>715</v>
      </c>
      <c r="AC68" s="4">
        <v>600</v>
      </c>
      <c r="AD68" s="4">
        <v>250</v>
      </c>
      <c r="AE68" s="4"/>
      <c r="AF68" s="86">
        <v>6510</v>
      </c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180016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2977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54285</v>
      </c>
    </row>
    <row r="74" spans="2:34" ht="24" customHeight="1" x14ac:dyDescent="0.5">
      <c r="B74" s="19" t="s">
        <v>3</v>
      </c>
      <c r="C74" s="21">
        <f>SUM(C38:AG38)</f>
        <v>19605</v>
      </c>
    </row>
    <row r="75" spans="2:34" ht="24" customHeight="1" x14ac:dyDescent="0.5">
      <c r="B75" s="19" t="s">
        <v>4</v>
      </c>
      <c r="C75" s="21">
        <f>SUM(C37:AG37)</f>
        <v>183001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>
        <v>129</v>
      </c>
      <c r="D81" s="2"/>
      <c r="E81" s="2">
        <v>240</v>
      </c>
      <c r="F81" s="89">
        <v>49995</v>
      </c>
      <c r="G81" s="2"/>
      <c r="H81" s="2"/>
      <c r="I81" s="2">
        <v>172</v>
      </c>
      <c r="J81" s="2"/>
      <c r="K81" s="2">
        <v>225</v>
      </c>
      <c r="L81" s="2">
        <v>585</v>
      </c>
      <c r="M81" s="89"/>
      <c r="N81" s="89">
        <v>28904</v>
      </c>
      <c r="O81" s="2"/>
      <c r="P81" s="2"/>
      <c r="Q81" s="2">
        <v>451</v>
      </c>
      <c r="R81" s="2">
        <v>300</v>
      </c>
      <c r="S81" s="2"/>
      <c r="T81" s="2"/>
      <c r="U81" s="2"/>
      <c r="V81" s="2"/>
      <c r="W81" s="81">
        <v>250</v>
      </c>
      <c r="X81" s="2">
        <v>74</v>
      </c>
      <c r="Y81" s="2">
        <v>3079</v>
      </c>
      <c r="Z81" s="89"/>
      <c r="AA81" s="2">
        <v>1487</v>
      </c>
      <c r="AB81" s="2"/>
      <c r="AC81" s="2"/>
      <c r="AD81" s="2">
        <v>195</v>
      </c>
      <c r="AE81" s="2">
        <v>980</v>
      </c>
      <c r="AF81" s="2"/>
      <c r="AG81" s="2"/>
    </row>
    <row r="82" spans="2:33" x14ac:dyDescent="0.5">
      <c r="B82" s="19" t="s">
        <v>35</v>
      </c>
      <c r="C82" s="2"/>
      <c r="D82" s="2">
        <v>270</v>
      </c>
      <c r="E82" s="2">
        <v>35</v>
      </c>
      <c r="F82" s="2"/>
      <c r="G82" s="2"/>
      <c r="H82" s="2"/>
      <c r="I82" s="2">
        <v>4900</v>
      </c>
      <c r="J82" s="2">
        <v>765</v>
      </c>
      <c r="K82" s="2">
        <v>59</v>
      </c>
      <c r="L82" s="2">
        <v>785</v>
      </c>
      <c r="M82" s="2"/>
      <c r="N82" s="2">
        <v>59</v>
      </c>
      <c r="O82" s="2"/>
      <c r="P82" s="2"/>
      <c r="Q82" s="2"/>
      <c r="R82" s="2">
        <v>150</v>
      </c>
      <c r="S82" s="2"/>
      <c r="T82" s="2"/>
      <c r="U82" s="2"/>
      <c r="V82" s="2"/>
      <c r="W82" s="2">
        <v>210</v>
      </c>
      <c r="X82" s="2"/>
      <c r="Y82" s="2">
        <v>2772</v>
      </c>
      <c r="Z82" s="2"/>
      <c r="AA82" s="2"/>
      <c r="AB82" s="2"/>
      <c r="AC82" s="2"/>
      <c r="AD82" s="2"/>
      <c r="AE82" s="2">
        <v>230</v>
      </c>
      <c r="AF82" s="89">
        <v>3335</v>
      </c>
      <c r="AG82" s="2"/>
    </row>
    <row r="83" spans="2:33" x14ac:dyDescent="0.5">
      <c r="B83" s="90" t="s">
        <v>41</v>
      </c>
      <c r="C83" s="91">
        <v>311</v>
      </c>
      <c r="D83" s="94">
        <v>1424</v>
      </c>
      <c r="E83" s="94">
        <v>1070</v>
      </c>
      <c r="F83" s="94">
        <v>40650</v>
      </c>
      <c r="G83" s="91">
        <v>45</v>
      </c>
      <c r="H83" s="91"/>
      <c r="I83" s="91">
        <v>5000</v>
      </c>
      <c r="J83" s="91">
        <v>2377</v>
      </c>
      <c r="K83" s="91"/>
      <c r="L83" s="91">
        <v>325</v>
      </c>
      <c r="M83" s="94">
        <v>8302</v>
      </c>
      <c r="N83" s="94">
        <v>9308</v>
      </c>
      <c r="O83" s="91">
        <v>122</v>
      </c>
      <c r="P83" s="94">
        <v>3075</v>
      </c>
      <c r="Q83" s="91">
        <v>5914</v>
      </c>
      <c r="R83" s="94">
        <v>3972</v>
      </c>
      <c r="S83" s="94">
        <v>6106</v>
      </c>
      <c r="T83" s="91"/>
      <c r="U83" s="94"/>
      <c r="V83" s="91">
        <v>4465</v>
      </c>
      <c r="W83" s="91">
        <v>290</v>
      </c>
      <c r="X83" s="91">
        <v>780</v>
      </c>
      <c r="Y83" s="94">
        <v>2504</v>
      </c>
      <c r="Z83" s="91">
        <v>130</v>
      </c>
      <c r="AA83" s="91">
        <v>3153</v>
      </c>
      <c r="AB83" s="91">
        <v>320</v>
      </c>
      <c r="AC83" s="94"/>
      <c r="AD83" s="94">
        <v>2463</v>
      </c>
      <c r="AE83" s="94">
        <v>4044</v>
      </c>
      <c r="AF83" s="91">
        <v>1929</v>
      </c>
      <c r="AG83" s="91">
        <v>5720</v>
      </c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AH83"/>
  <sheetViews>
    <sheetView topLeftCell="A2" workbookViewId="0">
      <pane xSplit="2" ySplit="3" topLeftCell="AB5" activePane="bottomRight" state="frozen"/>
      <selection activeCell="A2" sqref="A2"/>
      <selection pane="topRight" activeCell="C2" sqref="C2"/>
      <selection pane="bottomLeft" activeCell="A5" sqref="A5"/>
      <selection pane="bottomRight" activeCell="AE59" sqref="AE59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45658</v>
      </c>
      <c r="D4" s="27">
        <v>45659</v>
      </c>
      <c r="E4" s="27">
        <v>45660</v>
      </c>
      <c r="F4" s="27">
        <v>45661</v>
      </c>
      <c r="G4" s="27">
        <v>45662</v>
      </c>
      <c r="H4" s="27">
        <v>45663</v>
      </c>
      <c r="I4" s="27">
        <v>45664</v>
      </c>
      <c r="J4" s="27">
        <v>45665</v>
      </c>
      <c r="K4" s="27">
        <v>45666</v>
      </c>
      <c r="L4" s="27">
        <v>45667</v>
      </c>
      <c r="M4" s="27">
        <v>45668</v>
      </c>
      <c r="N4" s="27">
        <v>45669</v>
      </c>
      <c r="O4" s="27">
        <v>45670</v>
      </c>
      <c r="P4" s="27">
        <v>45671</v>
      </c>
      <c r="Q4" s="27">
        <v>45672</v>
      </c>
      <c r="R4" s="27">
        <v>45673</v>
      </c>
      <c r="S4" s="27">
        <v>45674</v>
      </c>
      <c r="T4" s="27">
        <v>45675</v>
      </c>
      <c r="U4" s="27">
        <v>45676</v>
      </c>
      <c r="V4" s="27">
        <v>45677</v>
      </c>
      <c r="W4" s="27">
        <v>45678</v>
      </c>
      <c r="X4" s="27">
        <v>45679</v>
      </c>
      <c r="Y4" s="27">
        <v>45680</v>
      </c>
      <c r="Z4" s="27">
        <v>45681</v>
      </c>
      <c r="AA4" s="27">
        <v>45682</v>
      </c>
      <c r="AB4" s="27">
        <v>45683</v>
      </c>
      <c r="AC4" s="27">
        <v>45684</v>
      </c>
      <c r="AD4" s="27">
        <v>45685</v>
      </c>
      <c r="AE4" s="27">
        <v>45686</v>
      </c>
      <c r="AF4" s="27">
        <v>45687</v>
      </c>
      <c r="AG4" s="27">
        <v>45688</v>
      </c>
      <c r="AH4" s="26" t="s">
        <v>12</v>
      </c>
    </row>
    <row r="5" spans="1:34" ht="21.75" thickBot="1" x14ac:dyDescent="0.55000000000000004">
      <c r="B5" s="58" t="s">
        <v>0</v>
      </c>
      <c r="C5" s="28">
        <f>C15</f>
        <v>4411</v>
      </c>
      <c r="D5" s="28">
        <f t="shared" ref="D5:AG5" si="0">D15</f>
        <v>4569</v>
      </c>
      <c r="E5" s="28">
        <f t="shared" si="0"/>
        <v>488</v>
      </c>
      <c r="F5" s="28">
        <f t="shared" si="0"/>
        <v>0</v>
      </c>
      <c r="G5" s="28">
        <f t="shared" si="0"/>
        <v>0</v>
      </c>
      <c r="H5" s="28">
        <f t="shared" si="0"/>
        <v>1995</v>
      </c>
      <c r="I5" s="28">
        <f t="shared" si="0"/>
        <v>3065</v>
      </c>
      <c r="J5" s="28">
        <f t="shared" si="0"/>
        <v>1566</v>
      </c>
      <c r="K5" s="28">
        <f t="shared" si="0"/>
        <v>0</v>
      </c>
      <c r="L5" s="28">
        <f t="shared" si="0"/>
        <v>1180</v>
      </c>
      <c r="M5" s="28">
        <f t="shared" si="0"/>
        <v>1803</v>
      </c>
      <c r="N5" s="28">
        <f t="shared" si="0"/>
        <v>1653</v>
      </c>
      <c r="O5" s="28">
        <f t="shared" si="0"/>
        <v>294</v>
      </c>
      <c r="P5" s="28">
        <f t="shared" si="0"/>
        <v>1425</v>
      </c>
      <c r="Q5" s="28">
        <f t="shared" si="0"/>
        <v>777</v>
      </c>
      <c r="R5" s="28">
        <f t="shared" si="0"/>
        <v>2242</v>
      </c>
      <c r="S5" s="28">
        <f t="shared" si="0"/>
        <v>0</v>
      </c>
      <c r="T5" s="28">
        <f t="shared" si="0"/>
        <v>9100</v>
      </c>
      <c r="U5" s="28">
        <f t="shared" si="0"/>
        <v>77</v>
      </c>
      <c r="V5" s="28">
        <f t="shared" si="0"/>
        <v>5505</v>
      </c>
      <c r="W5" s="28">
        <f t="shared" si="0"/>
        <v>17035</v>
      </c>
      <c r="X5" s="28">
        <f t="shared" si="0"/>
        <v>4165</v>
      </c>
      <c r="Y5" s="28">
        <f t="shared" si="0"/>
        <v>0</v>
      </c>
      <c r="Z5" s="28">
        <f t="shared" si="0"/>
        <v>4201</v>
      </c>
      <c r="AA5" s="28">
        <f t="shared" si="0"/>
        <v>2356</v>
      </c>
      <c r="AB5" s="28">
        <f t="shared" si="0"/>
        <v>0</v>
      </c>
      <c r="AC5" s="28">
        <f t="shared" si="0"/>
        <v>2359</v>
      </c>
      <c r="AD5" s="28">
        <f t="shared" si="0"/>
        <v>1010</v>
      </c>
      <c r="AE5" s="28">
        <f t="shared" si="0"/>
        <v>1755</v>
      </c>
      <c r="AF5" s="28">
        <f t="shared" si="0"/>
        <v>0</v>
      </c>
      <c r="AG5" s="28">
        <f t="shared" si="0"/>
        <v>0</v>
      </c>
      <c r="AH5" s="29">
        <f>SUM(C5:AG5)</f>
        <v>73031</v>
      </c>
    </row>
    <row r="6" spans="1:34" x14ac:dyDescent="0.5">
      <c r="B6" s="122"/>
      <c r="C6" s="83" t="s">
        <v>287</v>
      </c>
      <c r="D6" s="83" t="s">
        <v>293</v>
      </c>
      <c r="E6" s="83" t="s">
        <v>297</v>
      </c>
      <c r="F6" s="83"/>
      <c r="G6" s="83" t="s">
        <v>301</v>
      </c>
      <c r="H6" s="83" t="s">
        <v>303</v>
      </c>
      <c r="I6" s="83" t="s">
        <v>306</v>
      </c>
      <c r="J6" s="83" t="s">
        <v>310</v>
      </c>
      <c r="K6" s="83"/>
      <c r="L6" s="83" t="s">
        <v>314</v>
      </c>
      <c r="M6" s="83" t="s">
        <v>316</v>
      </c>
      <c r="N6" s="83" t="s">
        <v>320</v>
      </c>
      <c r="O6" s="83" t="s">
        <v>325</v>
      </c>
      <c r="P6" s="83" t="s">
        <v>327</v>
      </c>
      <c r="Q6" s="83" t="s">
        <v>329</v>
      </c>
      <c r="R6" s="83" t="s">
        <v>334</v>
      </c>
      <c r="S6" s="83"/>
      <c r="T6" s="83" t="s">
        <v>339</v>
      </c>
      <c r="U6" s="83" t="s">
        <v>344</v>
      </c>
      <c r="V6" s="83" t="s">
        <v>345</v>
      </c>
      <c r="W6" s="83" t="s">
        <v>348</v>
      </c>
      <c r="X6" s="83" t="s">
        <v>350</v>
      </c>
      <c r="Y6" s="83"/>
      <c r="Z6" s="83" t="s">
        <v>356</v>
      </c>
      <c r="AA6" s="83" t="s">
        <v>360</v>
      </c>
      <c r="AB6" s="83"/>
      <c r="AC6" s="83" t="s">
        <v>362</v>
      </c>
      <c r="AD6" s="83" t="s">
        <v>364</v>
      </c>
      <c r="AE6" s="83" t="s">
        <v>365</v>
      </c>
      <c r="AF6" s="83"/>
      <c r="AG6" s="83"/>
      <c r="AH6" s="123"/>
    </row>
    <row r="7" spans="1:34" x14ac:dyDescent="0.5">
      <c r="B7" s="122"/>
      <c r="C7" s="84" t="s">
        <v>288</v>
      </c>
      <c r="D7" s="84" t="s">
        <v>294</v>
      </c>
      <c r="E7" s="84" t="s">
        <v>298</v>
      </c>
      <c r="F7" s="84"/>
      <c r="G7" s="84" t="s">
        <v>302</v>
      </c>
      <c r="H7" s="84" t="s">
        <v>304</v>
      </c>
      <c r="I7" s="84" t="s">
        <v>307</v>
      </c>
      <c r="J7" s="84" t="s">
        <v>311</v>
      </c>
      <c r="K7" s="84"/>
      <c r="L7" s="84" t="s">
        <v>315</v>
      </c>
      <c r="M7" s="84" t="s">
        <v>317</v>
      </c>
      <c r="N7" s="84" t="s">
        <v>321</v>
      </c>
      <c r="O7" s="84" t="s">
        <v>326</v>
      </c>
      <c r="P7" s="84" t="s">
        <v>328</v>
      </c>
      <c r="Q7" s="84" t="s">
        <v>330</v>
      </c>
      <c r="R7" s="84" t="s">
        <v>335</v>
      </c>
      <c r="S7" s="84"/>
      <c r="T7" s="84" t="s">
        <v>340</v>
      </c>
      <c r="U7" s="84"/>
      <c r="V7" s="84" t="s">
        <v>346</v>
      </c>
      <c r="W7" s="84" t="s">
        <v>349</v>
      </c>
      <c r="X7" s="84" t="s">
        <v>351</v>
      </c>
      <c r="Y7" s="84"/>
      <c r="Z7" s="84" t="s">
        <v>357</v>
      </c>
      <c r="AA7" s="84" t="s">
        <v>361</v>
      </c>
      <c r="AB7" s="84"/>
      <c r="AC7" s="84" t="s">
        <v>363</v>
      </c>
      <c r="AD7" s="84"/>
      <c r="AE7" s="84" t="s">
        <v>366</v>
      </c>
      <c r="AF7" s="84"/>
      <c r="AG7" s="84"/>
      <c r="AH7" s="123"/>
    </row>
    <row r="8" spans="1:34" x14ac:dyDescent="0.5">
      <c r="B8" s="122"/>
      <c r="C8" s="84" t="s">
        <v>289</v>
      </c>
      <c r="D8" s="84" t="s">
        <v>295</v>
      </c>
      <c r="E8" s="84" t="s">
        <v>299</v>
      </c>
      <c r="F8" s="84"/>
      <c r="G8" s="84"/>
      <c r="H8" s="84" t="s">
        <v>305</v>
      </c>
      <c r="I8" s="84" t="s">
        <v>308</v>
      </c>
      <c r="J8" s="84" t="s">
        <v>312</v>
      </c>
      <c r="K8" s="84"/>
      <c r="L8" s="84"/>
      <c r="M8" s="84" t="s">
        <v>318</v>
      </c>
      <c r="N8" s="84" t="s">
        <v>322</v>
      </c>
      <c r="O8" s="84"/>
      <c r="P8" s="84"/>
      <c r="Q8" s="84" t="s">
        <v>331</v>
      </c>
      <c r="R8" s="84" t="s">
        <v>336</v>
      </c>
      <c r="S8" s="84"/>
      <c r="T8" s="84" t="s">
        <v>341</v>
      </c>
      <c r="U8" s="84"/>
      <c r="V8" s="84" t="s">
        <v>347</v>
      </c>
      <c r="W8" s="84"/>
      <c r="X8" s="84" t="s">
        <v>352</v>
      </c>
      <c r="Y8" s="84"/>
      <c r="Z8" s="84" t="s">
        <v>358</v>
      </c>
      <c r="AA8" s="84"/>
      <c r="AB8" s="84"/>
      <c r="AC8" s="84"/>
      <c r="AD8" s="84"/>
      <c r="AE8" s="84" t="s">
        <v>367</v>
      </c>
      <c r="AF8" s="84"/>
      <c r="AG8" s="84"/>
      <c r="AH8" s="123"/>
    </row>
    <row r="9" spans="1:34" x14ac:dyDescent="0.5">
      <c r="B9" s="122"/>
      <c r="C9" s="84" t="s">
        <v>290</v>
      </c>
      <c r="D9" s="84" t="s">
        <v>296</v>
      </c>
      <c r="E9" s="84" t="s">
        <v>300</v>
      </c>
      <c r="F9" s="84"/>
      <c r="G9" s="84"/>
      <c r="H9" s="84"/>
      <c r="I9" s="84" t="s">
        <v>309</v>
      </c>
      <c r="J9" s="84" t="s">
        <v>313</v>
      </c>
      <c r="K9" s="84"/>
      <c r="L9" s="84"/>
      <c r="M9" s="84" t="s">
        <v>319</v>
      </c>
      <c r="N9" s="84" t="s">
        <v>323</v>
      </c>
      <c r="O9" s="84"/>
      <c r="P9" s="84"/>
      <c r="Q9" s="84" t="s">
        <v>332</v>
      </c>
      <c r="R9" s="84" t="s">
        <v>337</v>
      </c>
      <c r="S9" s="84"/>
      <c r="T9" s="84" t="s">
        <v>342</v>
      </c>
      <c r="U9" s="84"/>
      <c r="V9" s="84"/>
      <c r="W9" s="84"/>
      <c r="X9" s="84" t="s">
        <v>353</v>
      </c>
      <c r="Y9" s="84"/>
      <c r="Z9" s="84" t="s">
        <v>359</v>
      </c>
      <c r="AA9" s="84"/>
      <c r="AB9" s="84"/>
      <c r="AC9" s="84"/>
      <c r="AD9" s="84"/>
      <c r="AE9" s="84" t="s">
        <v>368</v>
      </c>
      <c r="AF9" s="84"/>
      <c r="AG9" s="84"/>
      <c r="AH9" s="123"/>
    </row>
    <row r="10" spans="1:34" x14ac:dyDescent="0.5">
      <c r="B10" s="122"/>
      <c r="C10" s="84" t="s">
        <v>291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 t="s">
        <v>324</v>
      </c>
      <c r="O10" s="84"/>
      <c r="P10" s="84"/>
      <c r="Q10" s="84"/>
      <c r="R10" s="84" t="s">
        <v>338</v>
      </c>
      <c r="S10" s="84"/>
      <c r="T10" s="84" t="s">
        <v>343</v>
      </c>
      <c r="U10" s="84"/>
      <c r="V10" s="84"/>
      <c r="W10" s="84"/>
      <c r="X10" s="84" t="s">
        <v>354</v>
      </c>
      <c r="Y10" s="84"/>
      <c r="Z10" s="84"/>
      <c r="AA10" s="84"/>
      <c r="AB10" s="84"/>
      <c r="AC10" s="84"/>
      <c r="AD10" s="84"/>
      <c r="AE10" s="84"/>
      <c r="AF10" s="84"/>
      <c r="AG10" s="84"/>
      <c r="AH10" s="123"/>
    </row>
    <row r="11" spans="1:34" x14ac:dyDescent="0.5">
      <c r="B11" s="122"/>
      <c r="C11" s="84" t="s">
        <v>292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 t="s">
        <v>355</v>
      </c>
      <c r="Y11" s="84"/>
      <c r="Z11" s="84"/>
      <c r="AA11" s="84"/>
      <c r="AB11" s="84"/>
      <c r="AC11" s="84"/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4411</v>
      </c>
      <c r="D15" s="31">
        <f t="shared" ref="D15:AG15" si="1">SUM(D16:D22)</f>
        <v>4569</v>
      </c>
      <c r="E15" s="31">
        <f t="shared" si="1"/>
        <v>488</v>
      </c>
      <c r="F15" s="31">
        <f t="shared" si="1"/>
        <v>0</v>
      </c>
      <c r="G15" s="31">
        <f t="shared" si="1"/>
        <v>0</v>
      </c>
      <c r="H15" s="31">
        <f t="shared" si="1"/>
        <v>1995</v>
      </c>
      <c r="I15" s="31">
        <f t="shared" si="1"/>
        <v>3065</v>
      </c>
      <c r="J15" s="31">
        <f t="shared" si="1"/>
        <v>1566</v>
      </c>
      <c r="K15" s="31">
        <f t="shared" si="1"/>
        <v>0</v>
      </c>
      <c r="L15" s="31">
        <f t="shared" si="1"/>
        <v>1180</v>
      </c>
      <c r="M15" s="31">
        <f t="shared" si="1"/>
        <v>1803</v>
      </c>
      <c r="N15" s="31">
        <f t="shared" si="1"/>
        <v>1653</v>
      </c>
      <c r="O15" s="31">
        <f>SUM(O16:O22)</f>
        <v>294</v>
      </c>
      <c r="P15" s="31">
        <f t="shared" si="1"/>
        <v>1425</v>
      </c>
      <c r="Q15" s="31">
        <f t="shared" si="1"/>
        <v>777</v>
      </c>
      <c r="R15" s="31">
        <f t="shared" si="1"/>
        <v>2242</v>
      </c>
      <c r="S15" s="31">
        <f t="shared" si="1"/>
        <v>0</v>
      </c>
      <c r="T15" s="31">
        <f t="shared" si="1"/>
        <v>9100</v>
      </c>
      <c r="U15" s="31">
        <f t="shared" si="1"/>
        <v>77</v>
      </c>
      <c r="V15" s="31">
        <f t="shared" si="1"/>
        <v>5505</v>
      </c>
      <c r="W15" s="31">
        <f t="shared" si="1"/>
        <v>17035</v>
      </c>
      <c r="X15" s="31">
        <f t="shared" si="1"/>
        <v>4165</v>
      </c>
      <c r="Y15" s="31">
        <f t="shared" si="1"/>
        <v>0</v>
      </c>
      <c r="Z15" s="31">
        <f t="shared" si="1"/>
        <v>4201</v>
      </c>
      <c r="AA15" s="31">
        <f t="shared" si="1"/>
        <v>2356</v>
      </c>
      <c r="AB15" s="31">
        <f t="shared" si="1"/>
        <v>0</v>
      </c>
      <c r="AC15" s="31">
        <f t="shared" si="1"/>
        <v>2359</v>
      </c>
      <c r="AD15" s="31">
        <f t="shared" si="1"/>
        <v>1010</v>
      </c>
      <c r="AE15" s="31">
        <f t="shared" si="1"/>
        <v>1755</v>
      </c>
      <c r="AF15" s="31">
        <f t="shared" si="1"/>
        <v>0</v>
      </c>
      <c r="AG15" s="31">
        <f t="shared" si="1"/>
        <v>0</v>
      </c>
      <c r="AH15" s="32">
        <f>SUM(C15:AG15)</f>
        <v>73031</v>
      </c>
    </row>
    <row r="16" spans="1:34" x14ac:dyDescent="0.5">
      <c r="B16" s="60" t="s">
        <v>18</v>
      </c>
      <c r="C16" s="30">
        <v>1402</v>
      </c>
      <c r="D16" s="30">
        <v>3335</v>
      </c>
      <c r="E16" s="30">
        <v>271</v>
      </c>
      <c r="F16" s="30"/>
      <c r="G16" s="30"/>
      <c r="H16" s="30">
        <v>100</v>
      </c>
      <c r="I16" s="30">
        <v>1325</v>
      </c>
      <c r="J16" s="30">
        <v>41</v>
      </c>
      <c r="K16" s="30"/>
      <c r="L16" s="30"/>
      <c r="M16" s="30">
        <v>1803</v>
      </c>
      <c r="N16" s="30">
        <v>648</v>
      </c>
      <c r="O16" s="30">
        <v>207</v>
      </c>
      <c r="P16" s="30"/>
      <c r="Q16" s="30">
        <v>131</v>
      </c>
      <c r="R16" s="30">
        <v>1895</v>
      </c>
      <c r="S16" s="30"/>
      <c r="T16" s="30">
        <v>90</v>
      </c>
      <c r="U16" s="30">
        <v>77</v>
      </c>
      <c r="V16" s="30">
        <v>155</v>
      </c>
      <c r="W16" s="30"/>
      <c r="X16" s="30">
        <v>2076</v>
      </c>
      <c r="Y16" s="30"/>
      <c r="Z16" s="30"/>
      <c r="AA16" s="30">
        <v>2256</v>
      </c>
      <c r="AB16" s="30"/>
      <c r="AC16" s="30"/>
      <c r="AD16" s="30"/>
      <c r="AE16" s="30"/>
      <c r="AF16" s="30"/>
      <c r="AG16" s="30"/>
      <c r="AH16" s="10"/>
    </row>
    <row r="17" spans="2:34" x14ac:dyDescent="0.5">
      <c r="B17" s="61" t="s">
        <v>19</v>
      </c>
      <c r="C17" s="22"/>
      <c r="D17" s="22">
        <v>65</v>
      </c>
      <c r="E17" s="22">
        <v>65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>
        <v>975</v>
      </c>
      <c r="Q17" s="22">
        <v>136</v>
      </c>
      <c r="R17" s="22"/>
      <c r="S17" s="22"/>
      <c r="T17" s="22">
        <v>8360</v>
      </c>
      <c r="U17" s="22"/>
      <c r="V17" s="22"/>
      <c r="W17" s="22">
        <v>4635</v>
      </c>
      <c r="X17" s="22"/>
      <c r="Y17" s="22"/>
      <c r="Z17" s="22"/>
      <c r="AA17" s="22"/>
      <c r="AB17" s="22"/>
      <c r="AC17" s="22">
        <v>734</v>
      </c>
      <c r="AD17" s="22"/>
      <c r="AE17" s="22"/>
      <c r="AF17" s="22"/>
      <c r="AG17" s="22"/>
      <c r="AH17" s="10"/>
    </row>
    <row r="18" spans="2:34" x14ac:dyDescent="0.5">
      <c r="B18" s="61" t="s">
        <v>20</v>
      </c>
      <c r="C18" s="22">
        <v>2720</v>
      </c>
      <c r="D18" s="22">
        <v>1000</v>
      </c>
      <c r="E18" s="22"/>
      <c r="F18" s="22"/>
      <c r="G18" s="22"/>
      <c r="H18" s="22">
        <v>1895</v>
      </c>
      <c r="I18" s="22">
        <v>1680</v>
      </c>
      <c r="J18" s="22">
        <v>1395</v>
      </c>
      <c r="K18" s="22"/>
      <c r="L18" s="22">
        <v>1180</v>
      </c>
      <c r="M18" s="22"/>
      <c r="N18" s="22">
        <v>945</v>
      </c>
      <c r="O18" s="22">
        <v>87</v>
      </c>
      <c r="P18" s="22">
        <v>450</v>
      </c>
      <c r="Q18" s="22">
        <v>510</v>
      </c>
      <c r="R18" s="22">
        <v>140</v>
      </c>
      <c r="S18" s="22"/>
      <c r="T18" s="22">
        <v>350</v>
      </c>
      <c r="U18" s="22"/>
      <c r="V18" s="22">
        <v>5350</v>
      </c>
      <c r="W18" s="22"/>
      <c r="X18" s="22">
        <v>1500</v>
      </c>
      <c r="Y18" s="22"/>
      <c r="Z18" s="22">
        <v>4091</v>
      </c>
      <c r="AA18" s="22">
        <v>100</v>
      </c>
      <c r="AB18" s="22"/>
      <c r="AC18" s="22">
        <v>1625</v>
      </c>
      <c r="AD18" s="22">
        <v>1010</v>
      </c>
      <c r="AE18" s="22">
        <v>1655</v>
      </c>
      <c r="AF18" s="22"/>
      <c r="AG18" s="22"/>
      <c r="AH18" s="10"/>
    </row>
    <row r="19" spans="2:34" x14ac:dyDescent="0.5">
      <c r="B19" s="61" t="s">
        <v>21</v>
      </c>
      <c r="C19" s="22"/>
      <c r="D19" s="22"/>
      <c r="E19" s="22"/>
      <c r="F19" s="22"/>
      <c r="G19" s="22"/>
      <c r="H19" s="22"/>
      <c r="I19" s="22"/>
      <c r="J19" s="22">
        <v>130</v>
      </c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10"/>
    </row>
    <row r="20" spans="2:34" x14ac:dyDescent="0.5">
      <c r="B20" s="61" t="s">
        <v>22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>
        <v>90</v>
      </c>
      <c r="U20" s="22"/>
      <c r="V20" s="22"/>
      <c r="W20" s="22">
        <v>12400</v>
      </c>
      <c r="X20" s="22">
        <v>310</v>
      </c>
      <c r="Y20" s="22"/>
      <c r="Z20" s="22"/>
      <c r="AA20" s="22"/>
      <c r="AB20" s="22"/>
      <c r="AC20" s="22"/>
      <c r="AD20" s="22"/>
      <c r="AE20" s="22"/>
      <c r="AF20" s="22"/>
      <c r="AG20" s="22"/>
      <c r="AH20" s="10"/>
    </row>
    <row r="21" spans="2:34" x14ac:dyDescent="0.5">
      <c r="B21" s="61" t="s">
        <v>32</v>
      </c>
      <c r="C21" s="22"/>
      <c r="D21" s="22"/>
      <c r="E21" s="22"/>
      <c r="F21" s="22"/>
      <c r="G21" s="22"/>
      <c r="H21" s="22"/>
      <c r="I21" s="22">
        <v>60</v>
      </c>
      <c r="J21" s="22"/>
      <c r="K21" s="22"/>
      <c r="L21" s="22"/>
      <c r="M21" s="22"/>
      <c r="N21" s="22">
        <v>60</v>
      </c>
      <c r="O21" s="22"/>
      <c r="P21" s="22"/>
      <c r="Q21" s="22"/>
      <c r="R21" s="22"/>
      <c r="S21" s="22"/>
      <c r="T21" s="22">
        <v>210</v>
      </c>
      <c r="U21" s="22"/>
      <c r="V21" s="22"/>
      <c r="W21" s="22"/>
      <c r="X21" s="22">
        <v>279</v>
      </c>
      <c r="Y21" s="22"/>
      <c r="Z21" s="22"/>
      <c r="AA21" s="22"/>
      <c r="AB21" s="22"/>
      <c r="AC21" s="22"/>
      <c r="AD21" s="22"/>
      <c r="AE21" s="22"/>
      <c r="AF21" s="22"/>
      <c r="AG21" s="22"/>
      <c r="AH21" s="10"/>
    </row>
    <row r="22" spans="2:34" ht="21.75" thickBot="1" x14ac:dyDescent="0.55000000000000004">
      <c r="B22" s="62" t="s">
        <v>33</v>
      </c>
      <c r="C22" s="33">
        <v>289</v>
      </c>
      <c r="D22" s="33">
        <v>169</v>
      </c>
      <c r="E22" s="33">
        <v>152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>
        <v>207</v>
      </c>
      <c r="S22" s="33"/>
      <c r="T22" s="33"/>
      <c r="U22" s="33"/>
      <c r="V22" s="33"/>
      <c r="W22" s="33"/>
      <c r="X22" s="33"/>
      <c r="Y22" s="33"/>
      <c r="Z22" s="33">
        <v>110</v>
      </c>
      <c r="AA22" s="33"/>
      <c r="AB22" s="33"/>
      <c r="AC22" s="33"/>
      <c r="AD22" s="33"/>
      <c r="AE22" s="33">
        <v>100</v>
      </c>
      <c r="AF22" s="33"/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9</v>
      </c>
      <c r="D23" s="37">
        <f t="shared" ref="D23:AG23" si="2">SUM(D24:D36)</f>
        <v>56</v>
      </c>
      <c r="E23" s="37">
        <f t="shared" si="2"/>
        <v>253</v>
      </c>
      <c r="F23" s="37">
        <f t="shared" si="2"/>
        <v>0</v>
      </c>
      <c r="G23" s="37">
        <f t="shared" si="2"/>
        <v>230</v>
      </c>
      <c r="H23" s="37">
        <f t="shared" si="2"/>
        <v>55</v>
      </c>
      <c r="I23" s="37">
        <f t="shared" si="2"/>
        <v>30</v>
      </c>
      <c r="J23" s="37">
        <f t="shared" si="2"/>
        <v>40</v>
      </c>
      <c r="K23" s="37">
        <f t="shared" si="2"/>
        <v>0</v>
      </c>
      <c r="L23" s="37">
        <f t="shared" si="2"/>
        <v>0</v>
      </c>
      <c r="M23" s="37">
        <f t="shared" si="2"/>
        <v>245</v>
      </c>
      <c r="N23" s="37">
        <f t="shared" si="2"/>
        <v>30</v>
      </c>
      <c r="O23" s="37">
        <f t="shared" si="2"/>
        <v>13</v>
      </c>
      <c r="P23" s="37">
        <f t="shared" si="2"/>
        <v>80</v>
      </c>
      <c r="Q23" s="37">
        <f t="shared" si="2"/>
        <v>5</v>
      </c>
      <c r="R23" s="37"/>
      <c r="S23" s="37">
        <f t="shared" si="2"/>
        <v>0</v>
      </c>
      <c r="T23" s="37">
        <f t="shared" si="2"/>
        <v>150</v>
      </c>
      <c r="U23" s="37">
        <f t="shared" si="2"/>
        <v>260</v>
      </c>
      <c r="V23" s="37">
        <f t="shared" si="2"/>
        <v>219</v>
      </c>
      <c r="W23" s="37">
        <f t="shared" si="2"/>
        <v>43</v>
      </c>
      <c r="X23" s="37">
        <f t="shared" si="2"/>
        <v>240</v>
      </c>
      <c r="Y23" s="37">
        <f t="shared" si="2"/>
        <v>0</v>
      </c>
      <c r="Z23" s="37">
        <f t="shared" si="2"/>
        <v>5</v>
      </c>
      <c r="AA23" s="37">
        <f t="shared" si="2"/>
        <v>35</v>
      </c>
      <c r="AB23" s="37">
        <f t="shared" si="2"/>
        <v>171</v>
      </c>
      <c r="AC23" s="37">
        <f t="shared" si="2"/>
        <v>10</v>
      </c>
      <c r="AD23" s="37">
        <f t="shared" si="2"/>
        <v>0</v>
      </c>
      <c r="AE23" s="37">
        <f t="shared" si="2"/>
        <v>320</v>
      </c>
      <c r="AF23" s="37">
        <f t="shared" si="2"/>
        <v>0</v>
      </c>
      <c r="AG23" s="37">
        <f t="shared" si="2"/>
        <v>0</v>
      </c>
      <c r="AH23" s="38">
        <f>SUM(C23:AG23)</f>
        <v>2499</v>
      </c>
    </row>
    <row r="24" spans="2:34" x14ac:dyDescent="0.5">
      <c r="B24" s="35" t="s">
        <v>24</v>
      </c>
      <c r="C24" s="36">
        <v>5</v>
      </c>
      <c r="D24" s="36"/>
      <c r="E24" s="36">
        <v>5</v>
      </c>
      <c r="F24" s="36"/>
      <c r="G24" s="36"/>
      <c r="H24" s="36">
        <v>5</v>
      </c>
      <c r="I24" s="36"/>
      <c r="J24" s="36"/>
      <c r="K24" s="36"/>
      <c r="L24" s="36"/>
      <c r="M24" s="36">
        <v>5</v>
      </c>
      <c r="N24" s="36"/>
      <c r="O24" s="36"/>
      <c r="P24" s="36">
        <v>5</v>
      </c>
      <c r="Q24" s="36"/>
      <c r="R24" s="36"/>
      <c r="S24" s="36"/>
      <c r="T24" s="36"/>
      <c r="U24" s="36"/>
      <c r="V24" s="36">
        <v>5</v>
      </c>
      <c r="W24" s="36"/>
      <c r="X24" s="36"/>
      <c r="Y24" s="36"/>
      <c r="Z24" s="36">
        <v>5</v>
      </c>
      <c r="AA24" s="36"/>
      <c r="AB24" s="36"/>
      <c r="AC24" s="36">
        <v>5</v>
      </c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>
        <v>50</v>
      </c>
      <c r="E25" s="8"/>
      <c r="F25" s="8"/>
      <c r="G25" s="8">
        <v>30</v>
      </c>
      <c r="H25" s="8">
        <v>50</v>
      </c>
      <c r="I25" s="8"/>
      <c r="J25" s="8">
        <v>40</v>
      </c>
      <c r="K25" s="8"/>
      <c r="L25" s="8"/>
      <c r="M25" s="8">
        <v>50</v>
      </c>
      <c r="N25" s="8"/>
      <c r="O25" s="8"/>
      <c r="P25" s="8">
        <v>50</v>
      </c>
      <c r="Q25" s="8"/>
      <c r="R25" s="8"/>
      <c r="S25" s="8"/>
      <c r="T25" s="8">
        <v>100</v>
      </c>
      <c r="U25" s="8">
        <v>50</v>
      </c>
      <c r="V25" s="8">
        <v>50</v>
      </c>
      <c r="W25" s="8"/>
      <c r="X25" s="8">
        <v>50</v>
      </c>
      <c r="Y25" s="8"/>
      <c r="Z25" s="8"/>
      <c r="AA25" s="8"/>
      <c r="AB25" s="8">
        <v>50</v>
      </c>
      <c r="AC25" s="8"/>
      <c r="AD25" s="8"/>
      <c r="AE25" s="8">
        <v>50</v>
      </c>
      <c r="AF25" s="8"/>
      <c r="AG25" s="8"/>
      <c r="AH25" s="6"/>
    </row>
    <row r="26" spans="2:34" x14ac:dyDescent="0.5">
      <c r="B26" s="11" t="s">
        <v>26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>
        <v>30</v>
      </c>
      <c r="N26" s="8">
        <v>30</v>
      </c>
      <c r="O26" s="8"/>
      <c r="P26" s="8">
        <v>25</v>
      </c>
      <c r="Q26" s="8"/>
      <c r="R26" s="8"/>
      <c r="S26" s="8"/>
      <c r="T26" s="8"/>
      <c r="U26" s="8"/>
      <c r="V26" s="8">
        <v>30</v>
      </c>
      <c r="W26" s="8"/>
      <c r="X26" s="8">
        <v>30</v>
      </c>
      <c r="Y26" s="8"/>
      <c r="Z26" s="8"/>
      <c r="AA26" s="8">
        <v>35</v>
      </c>
      <c r="AB26" s="8"/>
      <c r="AC26" s="8"/>
      <c r="AD26" s="8"/>
      <c r="AE26" s="8">
        <v>30</v>
      </c>
      <c r="AF26" s="8"/>
      <c r="AG26" s="8"/>
      <c r="AH26" s="6"/>
    </row>
    <row r="27" spans="2:34" x14ac:dyDescent="0.5">
      <c r="B27" s="11" t="s">
        <v>23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>
        <v>160</v>
      </c>
      <c r="N27" s="8"/>
      <c r="O27" s="8"/>
      <c r="P27" s="8"/>
      <c r="Q27" s="8"/>
      <c r="R27" s="8"/>
      <c r="S27" s="8"/>
      <c r="T27" s="8"/>
      <c r="U27" s="8"/>
      <c r="V27" s="8">
        <v>6</v>
      </c>
      <c r="W27" s="8"/>
      <c r="X27" s="8">
        <v>160</v>
      </c>
      <c r="Y27" s="8"/>
      <c r="Z27" s="8"/>
      <c r="AA27" s="8"/>
      <c r="AB27" s="8"/>
      <c r="AC27" s="8"/>
      <c r="AD27" s="8"/>
      <c r="AE27" s="8"/>
      <c r="AF27" s="8"/>
      <c r="AG27" s="8"/>
      <c r="AH27" s="6"/>
    </row>
    <row r="28" spans="2:34" x14ac:dyDescent="0.5">
      <c r="B28" s="11" t="s">
        <v>27</v>
      </c>
      <c r="C28" s="8"/>
      <c r="D28" s="8"/>
      <c r="E28" s="8">
        <v>10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>
        <v>50</v>
      </c>
      <c r="F31" s="8"/>
      <c r="G31" s="8"/>
      <c r="H31" s="8"/>
      <c r="I31" s="8"/>
      <c r="J31" s="8"/>
      <c r="K31" s="8"/>
      <c r="L31" s="8"/>
      <c r="M31" s="8"/>
      <c r="N31" s="8"/>
      <c r="O31" s="8">
        <v>13</v>
      </c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>
        <v>65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>
        <v>5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>
        <v>5</v>
      </c>
      <c r="R33" s="8"/>
      <c r="S33" s="8"/>
      <c r="T33" s="8"/>
      <c r="U33" s="8"/>
      <c r="V33" s="8">
        <v>13</v>
      </c>
      <c r="W33" s="8"/>
      <c r="X33" s="8"/>
      <c r="Y33" s="8"/>
      <c r="Z33" s="8"/>
      <c r="AA33" s="8"/>
      <c r="AB33" s="8"/>
      <c r="AC33" s="8">
        <v>5</v>
      </c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>
        <v>55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>
        <v>50</v>
      </c>
      <c r="U34" s="8">
        <v>210</v>
      </c>
      <c r="V34" s="8">
        <v>115</v>
      </c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6"/>
    </row>
    <row r="35" spans="2:34" x14ac:dyDescent="0.5">
      <c r="B35" s="11" t="s">
        <v>48</v>
      </c>
      <c r="C35" s="8">
        <v>4</v>
      </c>
      <c r="D35" s="8">
        <v>6</v>
      </c>
      <c r="E35" s="8">
        <v>13</v>
      </c>
      <c r="F35" s="8"/>
      <c r="G35" s="8">
        <v>200</v>
      </c>
      <c r="H35" s="8"/>
      <c r="I35" s="8">
        <v>30</v>
      </c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>
        <v>43</v>
      </c>
      <c r="X35" s="8"/>
      <c r="Y35" s="8"/>
      <c r="Z35" s="8"/>
      <c r="AA35" s="8"/>
      <c r="AB35" s="8">
        <v>121</v>
      </c>
      <c r="AC35" s="8"/>
      <c r="AD35" s="8"/>
      <c r="AE35" s="8">
        <v>240</v>
      </c>
      <c r="AF35" s="8"/>
      <c r="AG35" s="8"/>
      <c r="AH35" s="6"/>
    </row>
    <row r="36" spans="2:34" ht="21.75" thickBot="1" x14ac:dyDescent="0.55000000000000004">
      <c r="B36" s="39"/>
      <c r="C36" s="40"/>
      <c r="D36" s="40"/>
      <c r="E36" s="40">
        <v>50</v>
      </c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>
        <v>2171</v>
      </c>
      <c r="D37" s="87">
        <v>2648</v>
      </c>
      <c r="E37" s="45">
        <v>1513</v>
      </c>
      <c r="F37" s="45"/>
      <c r="G37" s="45">
        <v>730</v>
      </c>
      <c r="H37" s="87">
        <v>1423</v>
      </c>
      <c r="I37" s="87">
        <v>3918</v>
      </c>
      <c r="J37" s="87">
        <v>1375</v>
      </c>
      <c r="K37" s="45"/>
      <c r="L37" s="87">
        <v>4329</v>
      </c>
      <c r="M37" s="87">
        <v>2593</v>
      </c>
      <c r="N37" s="87">
        <v>1211</v>
      </c>
      <c r="O37" s="45">
        <v>493</v>
      </c>
      <c r="P37" s="87">
        <v>1212</v>
      </c>
      <c r="Q37" s="45">
        <v>623</v>
      </c>
      <c r="R37" s="45">
        <v>312</v>
      </c>
      <c r="S37" s="45"/>
      <c r="T37" s="45">
        <v>344</v>
      </c>
      <c r="U37" s="87">
        <v>1188</v>
      </c>
      <c r="V37" s="78">
        <v>21381</v>
      </c>
      <c r="W37" s="44">
        <v>393</v>
      </c>
      <c r="X37" s="87">
        <v>2848</v>
      </c>
      <c r="Y37" s="45"/>
      <c r="Z37" s="87">
        <v>1621</v>
      </c>
      <c r="AA37" s="87">
        <v>4214</v>
      </c>
      <c r="AB37" s="87">
        <v>274</v>
      </c>
      <c r="AC37" s="44"/>
      <c r="AD37" s="44">
        <v>2018</v>
      </c>
      <c r="AE37" s="44">
        <v>570</v>
      </c>
      <c r="AF37" s="44"/>
      <c r="AG37" s="44"/>
      <c r="AH37" s="46">
        <f>SUM(C37:AG37)</f>
        <v>59402</v>
      </c>
    </row>
    <row r="38" spans="2:34" x14ac:dyDescent="0.5">
      <c r="B38" s="42" t="s">
        <v>3</v>
      </c>
      <c r="C38" s="43">
        <v>125</v>
      </c>
      <c r="D38" s="43">
        <v>372</v>
      </c>
      <c r="E38" s="43">
        <v>59</v>
      </c>
      <c r="F38" s="43"/>
      <c r="G38" s="43">
        <v>362</v>
      </c>
      <c r="H38" s="43"/>
      <c r="I38" s="43">
        <v>138</v>
      </c>
      <c r="J38" s="43">
        <v>401</v>
      </c>
      <c r="K38" s="43"/>
      <c r="L38" s="88">
        <v>4177</v>
      </c>
      <c r="M38" s="88">
        <v>1089</v>
      </c>
      <c r="N38" s="43">
        <v>174</v>
      </c>
      <c r="O38" s="43">
        <v>0</v>
      </c>
      <c r="P38" s="43">
        <v>98</v>
      </c>
      <c r="Q38" s="43">
        <v>102</v>
      </c>
      <c r="R38" s="43">
        <v>0</v>
      </c>
      <c r="S38" s="43"/>
      <c r="T38" s="43">
        <v>0</v>
      </c>
      <c r="U38" s="43">
        <v>476</v>
      </c>
      <c r="V38" s="43">
        <v>59</v>
      </c>
      <c r="W38" s="43">
        <v>328</v>
      </c>
      <c r="X38" s="43">
        <v>62</v>
      </c>
      <c r="Y38" s="43"/>
      <c r="Z38" s="88">
        <v>59</v>
      </c>
      <c r="AA38" s="43">
        <v>121</v>
      </c>
      <c r="AB38" s="43">
        <v>16</v>
      </c>
      <c r="AC38" s="95"/>
      <c r="AD38" s="95">
        <v>68</v>
      </c>
      <c r="AE38" s="95">
        <v>0</v>
      </c>
      <c r="AF38" s="95"/>
      <c r="AG38" s="95"/>
      <c r="AH38" s="7"/>
    </row>
    <row r="39" spans="2:34" x14ac:dyDescent="0.5">
      <c r="B39" s="15" t="s">
        <v>10</v>
      </c>
      <c r="C39" s="9">
        <v>375</v>
      </c>
      <c r="D39" s="9">
        <v>43</v>
      </c>
      <c r="E39" s="9"/>
      <c r="F39" s="9"/>
      <c r="G39" s="9">
        <v>261</v>
      </c>
      <c r="H39" s="9"/>
      <c r="I39" s="9">
        <v>23</v>
      </c>
      <c r="J39" s="9">
        <v>102</v>
      </c>
      <c r="K39" s="9"/>
      <c r="L39" s="9">
        <v>533</v>
      </c>
      <c r="M39" s="9">
        <v>0</v>
      </c>
      <c r="N39" s="9">
        <v>100</v>
      </c>
      <c r="O39" s="9">
        <v>0</v>
      </c>
      <c r="P39" s="9">
        <v>23</v>
      </c>
      <c r="Q39" s="9">
        <v>281</v>
      </c>
      <c r="R39" s="9">
        <v>0</v>
      </c>
      <c r="S39" s="9"/>
      <c r="T39" s="9">
        <v>0</v>
      </c>
      <c r="U39" s="9">
        <v>15</v>
      </c>
      <c r="V39" s="9">
        <v>15</v>
      </c>
      <c r="W39" s="9">
        <v>21</v>
      </c>
      <c r="X39" s="9">
        <v>177</v>
      </c>
      <c r="Y39" s="9"/>
      <c r="Z39" s="9">
        <v>15</v>
      </c>
      <c r="AA39" s="9">
        <v>63</v>
      </c>
      <c r="AB39" s="9">
        <v>23</v>
      </c>
      <c r="AC39" s="9"/>
      <c r="AD39" s="9">
        <v>109</v>
      </c>
      <c r="AE39" s="9">
        <v>0</v>
      </c>
      <c r="AF39" s="9"/>
      <c r="AG39" s="9"/>
      <c r="AH39" s="14"/>
    </row>
    <row r="40" spans="2:34" x14ac:dyDescent="0.5">
      <c r="B40" s="15" t="s">
        <v>11</v>
      </c>
      <c r="C40" s="9">
        <v>0</v>
      </c>
      <c r="D40" s="9">
        <v>8</v>
      </c>
      <c r="E40" s="9">
        <v>1</v>
      </c>
      <c r="F40" s="9"/>
      <c r="G40" s="9">
        <v>5</v>
      </c>
      <c r="H40" s="9"/>
      <c r="I40" s="9">
        <v>2</v>
      </c>
      <c r="J40" s="9">
        <v>6</v>
      </c>
      <c r="K40" s="9"/>
      <c r="L40" s="9">
        <v>82</v>
      </c>
      <c r="M40" s="9">
        <v>20</v>
      </c>
      <c r="N40" s="9">
        <v>3</v>
      </c>
      <c r="O40" s="9">
        <v>0</v>
      </c>
      <c r="P40" s="9">
        <v>2</v>
      </c>
      <c r="Q40" s="9" t="s">
        <v>333</v>
      </c>
      <c r="R40" s="9">
        <v>0</v>
      </c>
      <c r="S40" s="9"/>
      <c r="T40" s="9">
        <v>0</v>
      </c>
      <c r="U40" s="9">
        <v>9</v>
      </c>
      <c r="V40" s="9">
        <v>1</v>
      </c>
      <c r="W40" s="9">
        <v>6</v>
      </c>
      <c r="X40" s="9">
        <v>0</v>
      </c>
      <c r="Y40" s="9"/>
      <c r="Z40" s="9">
        <v>1</v>
      </c>
      <c r="AA40" s="9">
        <v>2</v>
      </c>
      <c r="AB40" s="9">
        <v>1</v>
      </c>
      <c r="AC40" s="9"/>
      <c r="AD40" s="9">
        <v>1</v>
      </c>
      <c r="AE40" s="9">
        <v>0</v>
      </c>
      <c r="AF40" s="9"/>
      <c r="AG40" s="9"/>
      <c r="AH40" s="7"/>
    </row>
    <row r="41" spans="2:34" x14ac:dyDescent="0.5">
      <c r="B41" s="16" t="s">
        <v>5</v>
      </c>
      <c r="C41" s="97">
        <f>SUM(C37-C38)</f>
        <v>2046</v>
      </c>
      <c r="D41" s="97">
        <f t="shared" ref="D41:AG41" si="3">SUM(D37-D38)</f>
        <v>2276</v>
      </c>
      <c r="E41" s="97">
        <f t="shared" si="3"/>
        <v>1454</v>
      </c>
      <c r="F41" s="97">
        <f t="shared" si="3"/>
        <v>0</v>
      </c>
      <c r="G41" s="97">
        <f t="shared" si="3"/>
        <v>368</v>
      </c>
      <c r="H41" s="97">
        <f t="shared" si="3"/>
        <v>1423</v>
      </c>
      <c r="I41" s="97">
        <f t="shared" si="3"/>
        <v>3780</v>
      </c>
      <c r="J41" s="97">
        <f t="shared" si="3"/>
        <v>974</v>
      </c>
      <c r="K41" s="97">
        <f t="shared" si="3"/>
        <v>0</v>
      </c>
      <c r="L41" s="97">
        <f t="shared" si="3"/>
        <v>152</v>
      </c>
      <c r="M41" s="97">
        <f t="shared" si="3"/>
        <v>1504</v>
      </c>
      <c r="N41" s="97">
        <f t="shared" si="3"/>
        <v>1037</v>
      </c>
      <c r="O41" s="97">
        <f t="shared" si="3"/>
        <v>493</v>
      </c>
      <c r="P41" s="97">
        <f t="shared" si="3"/>
        <v>1114</v>
      </c>
      <c r="Q41" s="97">
        <f t="shared" si="3"/>
        <v>521</v>
      </c>
      <c r="R41" s="97">
        <f t="shared" si="3"/>
        <v>312</v>
      </c>
      <c r="S41" s="97">
        <f t="shared" si="3"/>
        <v>0</v>
      </c>
      <c r="T41" s="97">
        <f t="shared" si="3"/>
        <v>344</v>
      </c>
      <c r="U41" s="97">
        <f t="shared" si="3"/>
        <v>712</v>
      </c>
      <c r="V41" s="97">
        <f t="shared" si="3"/>
        <v>21322</v>
      </c>
      <c r="W41" s="97">
        <f t="shared" si="3"/>
        <v>65</v>
      </c>
      <c r="X41" s="97">
        <f t="shared" si="3"/>
        <v>2786</v>
      </c>
      <c r="Y41" s="97">
        <f t="shared" si="3"/>
        <v>0</v>
      </c>
      <c r="Z41" s="97">
        <f t="shared" si="3"/>
        <v>1562</v>
      </c>
      <c r="AA41" s="97">
        <f t="shared" si="3"/>
        <v>4093</v>
      </c>
      <c r="AB41" s="97">
        <f t="shared" si="3"/>
        <v>258</v>
      </c>
      <c r="AC41" s="97">
        <f t="shared" si="3"/>
        <v>0</v>
      </c>
      <c r="AD41" s="97">
        <f t="shared" si="3"/>
        <v>1950</v>
      </c>
      <c r="AE41" s="97">
        <f t="shared" si="3"/>
        <v>570</v>
      </c>
      <c r="AF41" s="97">
        <f t="shared" si="3"/>
        <v>0</v>
      </c>
      <c r="AG41" s="97">
        <f t="shared" si="3"/>
        <v>0</v>
      </c>
      <c r="AH41" s="13">
        <f>SUM(C41:AG41)</f>
        <v>51116</v>
      </c>
    </row>
    <row r="42" spans="2:34" x14ac:dyDescent="0.5">
      <c r="B42" s="16" t="s">
        <v>8</v>
      </c>
      <c r="C42" s="5">
        <v>23</v>
      </c>
      <c r="D42" s="5">
        <v>15</v>
      </c>
      <c r="E42" s="5"/>
      <c r="F42" s="5"/>
      <c r="G42" s="5">
        <v>0</v>
      </c>
      <c r="H42" s="5">
        <v>158</v>
      </c>
      <c r="I42" s="92">
        <v>1038</v>
      </c>
      <c r="J42" s="5">
        <v>304</v>
      </c>
      <c r="K42" s="5"/>
      <c r="L42" s="5">
        <v>0</v>
      </c>
      <c r="M42" s="5">
        <v>30</v>
      </c>
      <c r="N42" s="5">
        <v>23</v>
      </c>
      <c r="O42" s="5">
        <v>113</v>
      </c>
      <c r="P42" s="5">
        <v>239</v>
      </c>
      <c r="Q42" s="5">
        <v>132</v>
      </c>
      <c r="R42" s="5">
        <v>6</v>
      </c>
      <c r="S42" s="5"/>
      <c r="T42" s="5">
        <v>20</v>
      </c>
      <c r="U42" s="5">
        <v>123</v>
      </c>
      <c r="V42" s="5">
        <v>6784</v>
      </c>
      <c r="W42" s="5">
        <v>66</v>
      </c>
      <c r="X42" s="5">
        <v>407</v>
      </c>
      <c r="Y42" s="5"/>
      <c r="Z42" s="5">
        <v>144</v>
      </c>
      <c r="AA42" s="5">
        <v>485</v>
      </c>
      <c r="AB42" s="5">
        <v>483</v>
      </c>
      <c r="AC42" s="92"/>
      <c r="AD42" s="5">
        <v>10</v>
      </c>
      <c r="AE42" s="5">
        <v>120</v>
      </c>
      <c r="AF42" s="5"/>
      <c r="AG42" s="5"/>
      <c r="AH42" s="12"/>
    </row>
    <row r="43" spans="2:34" ht="18" customHeight="1" thickBot="1" x14ac:dyDescent="0.55000000000000004">
      <c r="B43" s="47" t="s">
        <v>7</v>
      </c>
      <c r="C43" s="48"/>
      <c r="D43" s="48">
        <v>4</v>
      </c>
      <c r="E43" s="48"/>
      <c r="F43" s="48"/>
      <c r="G43" s="48">
        <v>5</v>
      </c>
      <c r="H43" s="48">
        <v>25</v>
      </c>
      <c r="I43" s="48">
        <v>57</v>
      </c>
      <c r="J43" s="48">
        <v>16</v>
      </c>
      <c r="K43" s="48"/>
      <c r="L43" s="48">
        <v>3</v>
      </c>
      <c r="M43" s="48">
        <v>15</v>
      </c>
      <c r="N43" s="48">
        <v>17</v>
      </c>
      <c r="O43" s="48">
        <v>9</v>
      </c>
      <c r="P43" s="48">
        <v>21</v>
      </c>
      <c r="Q43" s="48">
        <v>10</v>
      </c>
      <c r="R43" s="48">
        <v>60</v>
      </c>
      <c r="S43" s="48"/>
      <c r="T43" s="48">
        <v>2</v>
      </c>
      <c r="U43" s="48">
        <v>13</v>
      </c>
      <c r="V43" s="48">
        <v>250</v>
      </c>
      <c r="W43" s="48">
        <v>1</v>
      </c>
      <c r="X43" s="48">
        <v>62</v>
      </c>
      <c r="Y43" s="48"/>
      <c r="Z43" s="48">
        <v>29</v>
      </c>
      <c r="AA43" s="48">
        <v>97</v>
      </c>
      <c r="AB43" s="93">
        <v>1</v>
      </c>
      <c r="AC43" s="48"/>
      <c r="AD43" s="48">
        <v>35</v>
      </c>
      <c r="AE43" s="48">
        <v>12</v>
      </c>
      <c r="AF43" s="48"/>
      <c r="AG43" s="48"/>
      <c r="AH43" s="96"/>
    </row>
    <row r="44" spans="2:34" ht="21.75" thickBot="1" x14ac:dyDescent="0.55000000000000004">
      <c r="B44" s="65" t="s">
        <v>9</v>
      </c>
      <c r="C44" s="49">
        <v>60</v>
      </c>
      <c r="D44" s="49"/>
      <c r="E44" s="49"/>
      <c r="F44" s="49"/>
      <c r="G44" s="49"/>
      <c r="H44" s="49">
        <v>200</v>
      </c>
      <c r="I44" s="49"/>
      <c r="J44" s="49">
        <v>20</v>
      </c>
      <c r="K44" s="49"/>
      <c r="L44" s="49"/>
      <c r="M44" s="49">
        <v>500</v>
      </c>
      <c r="N44" s="49"/>
      <c r="O44" s="49">
        <v>100</v>
      </c>
      <c r="P44" s="49"/>
      <c r="Q44" s="49"/>
      <c r="R44" s="49"/>
      <c r="S44" s="49"/>
      <c r="T44" s="49">
        <v>400</v>
      </c>
      <c r="U44" s="49">
        <v>135</v>
      </c>
      <c r="V44" s="49">
        <v>190</v>
      </c>
      <c r="W44" s="49"/>
      <c r="X44" s="49">
        <v>505</v>
      </c>
      <c r="Y44" s="49"/>
      <c r="Z44" s="49">
        <v>0</v>
      </c>
      <c r="AA44" s="49"/>
      <c r="AB44" s="49"/>
      <c r="AC44" s="49"/>
      <c r="AD44" s="49">
        <v>742</v>
      </c>
      <c r="AE44" s="49"/>
      <c r="AF44" s="49"/>
      <c r="AG44" s="49"/>
      <c r="AH44" s="50"/>
    </row>
    <row r="45" spans="2:34" ht="21.75" thickBot="1" x14ac:dyDescent="0.55000000000000004">
      <c r="B45" s="66" t="s">
        <v>14</v>
      </c>
      <c r="C45" s="51">
        <f>C44+C42+C39</f>
        <v>458</v>
      </c>
      <c r="D45" s="51">
        <f>D44+D42+D39</f>
        <v>58</v>
      </c>
      <c r="E45" s="51">
        <f t="shared" ref="E45:AE45" si="4">E44+E42+E39</f>
        <v>0</v>
      </c>
      <c r="F45" s="51">
        <f t="shared" si="4"/>
        <v>0</v>
      </c>
      <c r="G45" s="51">
        <f t="shared" si="4"/>
        <v>261</v>
      </c>
      <c r="H45" s="51">
        <f t="shared" si="4"/>
        <v>358</v>
      </c>
      <c r="I45" s="51">
        <f t="shared" si="4"/>
        <v>1061</v>
      </c>
      <c r="J45" s="51">
        <f t="shared" si="4"/>
        <v>426</v>
      </c>
      <c r="K45" s="51">
        <f t="shared" si="4"/>
        <v>0</v>
      </c>
      <c r="L45" s="51">
        <f t="shared" si="4"/>
        <v>533</v>
      </c>
      <c r="M45" s="51">
        <f t="shared" si="4"/>
        <v>530</v>
      </c>
      <c r="N45" s="51">
        <f t="shared" si="4"/>
        <v>123</v>
      </c>
      <c r="O45" s="51">
        <f t="shared" si="4"/>
        <v>213</v>
      </c>
      <c r="P45" s="51">
        <f t="shared" si="4"/>
        <v>262</v>
      </c>
      <c r="Q45" s="51">
        <f t="shared" si="4"/>
        <v>413</v>
      </c>
      <c r="R45" s="51">
        <f t="shared" si="4"/>
        <v>6</v>
      </c>
      <c r="S45" s="51">
        <f t="shared" si="4"/>
        <v>0</v>
      </c>
      <c r="T45" s="51">
        <f t="shared" si="4"/>
        <v>420</v>
      </c>
      <c r="U45" s="51">
        <f t="shared" si="4"/>
        <v>273</v>
      </c>
      <c r="V45" s="51">
        <f t="shared" si="4"/>
        <v>6989</v>
      </c>
      <c r="W45" s="51">
        <f t="shared" si="4"/>
        <v>87</v>
      </c>
      <c r="X45" s="51">
        <f t="shared" si="4"/>
        <v>1089</v>
      </c>
      <c r="Y45" s="51">
        <f t="shared" si="4"/>
        <v>0</v>
      </c>
      <c r="Z45" s="51">
        <f t="shared" si="4"/>
        <v>159</v>
      </c>
      <c r="AA45" s="51">
        <f t="shared" si="4"/>
        <v>548</v>
      </c>
      <c r="AB45" s="51">
        <f t="shared" si="4"/>
        <v>506</v>
      </c>
      <c r="AC45" s="51">
        <f t="shared" si="4"/>
        <v>0</v>
      </c>
      <c r="AD45" s="51">
        <f t="shared" si="4"/>
        <v>861</v>
      </c>
      <c r="AE45" s="51">
        <f t="shared" si="4"/>
        <v>120</v>
      </c>
      <c r="AF45" s="51"/>
      <c r="AG45" s="51"/>
      <c r="AH45" s="52"/>
    </row>
    <row r="46" spans="2:34" ht="21.75" thickBot="1" x14ac:dyDescent="0.55000000000000004">
      <c r="B46" s="67" t="s">
        <v>6</v>
      </c>
      <c r="C46" s="98">
        <v>28973</v>
      </c>
      <c r="D46" s="102">
        <f>C46-D37</f>
        <v>26325</v>
      </c>
      <c r="E46" s="102">
        <f>D46-E37</f>
        <v>24812</v>
      </c>
      <c r="F46" s="53"/>
      <c r="G46" s="102">
        <f>E46-G37</f>
        <v>24082</v>
      </c>
      <c r="H46" s="102">
        <f>G46-H37</f>
        <v>22659</v>
      </c>
      <c r="I46" s="102">
        <f>H46-I37</f>
        <v>18741</v>
      </c>
      <c r="J46" s="102">
        <f>I46-J37</f>
        <v>17366</v>
      </c>
      <c r="K46" s="53"/>
      <c r="L46" s="102">
        <f>J46-L37</f>
        <v>13037</v>
      </c>
      <c r="M46" s="102">
        <f t="shared" ref="M46:R46" si="5">L46-M37</f>
        <v>10444</v>
      </c>
      <c r="N46" s="102">
        <f t="shared" si="5"/>
        <v>9233</v>
      </c>
      <c r="O46" s="102">
        <f t="shared" si="5"/>
        <v>8740</v>
      </c>
      <c r="P46" s="102">
        <f t="shared" si="5"/>
        <v>7528</v>
      </c>
      <c r="Q46" s="102">
        <f t="shared" si="5"/>
        <v>6905</v>
      </c>
      <c r="R46" s="102">
        <f t="shared" si="5"/>
        <v>6593</v>
      </c>
      <c r="S46" s="53"/>
      <c r="T46" s="102">
        <f>R46-T37</f>
        <v>6249</v>
      </c>
      <c r="U46" s="102">
        <f>T46-U37</f>
        <v>5061</v>
      </c>
      <c r="V46" s="79">
        <f>35061-V37</f>
        <v>13680</v>
      </c>
      <c r="W46" s="77">
        <f>V46-W37</f>
        <v>13287</v>
      </c>
      <c r="X46" s="77">
        <f>W46-X37</f>
        <v>10439</v>
      </c>
      <c r="Y46" s="77"/>
      <c r="Z46" s="77">
        <v>9667</v>
      </c>
      <c r="AA46" s="77">
        <v>4335</v>
      </c>
      <c r="AB46" s="77">
        <f>AA46-AB37</f>
        <v>4061</v>
      </c>
      <c r="AC46" s="77"/>
      <c r="AD46" s="77">
        <f>AB46-AD37</f>
        <v>2043</v>
      </c>
      <c r="AE46" s="77">
        <f>AD46-AE37</f>
        <v>1473</v>
      </c>
      <c r="AF46" s="77"/>
      <c r="AG46" s="53"/>
      <c r="AH46" s="54"/>
    </row>
    <row r="47" spans="2:34" ht="21.75" thickBot="1" x14ac:dyDescent="0.55000000000000004">
      <c r="B47" s="23" t="s">
        <v>31</v>
      </c>
      <c r="C47" s="55">
        <f>(C38+C81+C82+C83)-C37</f>
        <v>1260</v>
      </c>
      <c r="D47" s="55">
        <f>(D38+D81+D82+D83)-D37</f>
        <v>1583</v>
      </c>
      <c r="E47" s="55">
        <f>(E38+E81+E82+E83)-E37</f>
        <v>898</v>
      </c>
      <c r="F47" s="55">
        <f t="shared" ref="F47:AE47" si="6">(F38+F81+F82+F83)-F37</f>
        <v>0</v>
      </c>
      <c r="G47" s="55">
        <f t="shared" si="6"/>
        <v>202</v>
      </c>
      <c r="H47" s="55">
        <f t="shared" si="6"/>
        <v>922</v>
      </c>
      <c r="I47" s="55">
        <f t="shared" si="6"/>
        <v>2045</v>
      </c>
      <c r="J47" s="55">
        <f t="shared" si="6"/>
        <v>622</v>
      </c>
      <c r="K47" s="55">
        <f t="shared" si="6"/>
        <v>0</v>
      </c>
      <c r="L47" s="55">
        <f t="shared" si="6"/>
        <v>28</v>
      </c>
      <c r="M47" s="55">
        <f t="shared" si="6"/>
        <v>299</v>
      </c>
      <c r="N47" s="55">
        <f t="shared" si="6"/>
        <v>348</v>
      </c>
      <c r="O47" s="55">
        <f t="shared" si="6"/>
        <v>225</v>
      </c>
      <c r="P47" s="55">
        <f t="shared" si="6"/>
        <v>466</v>
      </c>
      <c r="Q47" s="55">
        <f t="shared" si="6"/>
        <v>1153</v>
      </c>
      <c r="R47" s="55">
        <f t="shared" si="6"/>
        <v>110</v>
      </c>
      <c r="S47" s="55">
        <f t="shared" si="6"/>
        <v>0</v>
      </c>
      <c r="T47" s="55">
        <f t="shared" si="6"/>
        <v>46</v>
      </c>
      <c r="U47" s="55">
        <f t="shared" si="6"/>
        <v>565</v>
      </c>
      <c r="V47" s="55">
        <f t="shared" si="6"/>
        <v>9288</v>
      </c>
      <c r="W47" s="55">
        <f t="shared" si="6"/>
        <v>0</v>
      </c>
      <c r="X47" s="55">
        <f t="shared" si="6"/>
        <v>1069</v>
      </c>
      <c r="Y47" s="55">
        <f t="shared" si="6"/>
        <v>0</v>
      </c>
      <c r="Z47" s="55">
        <f t="shared" si="6"/>
        <v>639</v>
      </c>
      <c r="AA47" s="55">
        <f t="shared" si="6"/>
        <v>1798</v>
      </c>
      <c r="AB47" s="55">
        <f t="shared" si="6"/>
        <v>56</v>
      </c>
      <c r="AC47" s="55">
        <f t="shared" si="6"/>
        <v>0</v>
      </c>
      <c r="AD47" s="55">
        <f t="shared" si="6"/>
        <v>288</v>
      </c>
      <c r="AE47" s="55">
        <f t="shared" si="6"/>
        <v>320</v>
      </c>
      <c r="AF47" s="55"/>
      <c r="AG47" s="55"/>
      <c r="AH47" s="56">
        <f>SUM(C47:AG47)</f>
        <v>24230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>
        <v>45536</v>
      </c>
      <c r="D49" s="71">
        <v>45537</v>
      </c>
      <c r="E49" s="71">
        <v>45538</v>
      </c>
      <c r="F49" s="71">
        <v>45539</v>
      </c>
      <c r="G49" s="71">
        <v>45540</v>
      </c>
      <c r="H49" s="71">
        <v>45541</v>
      </c>
      <c r="I49" s="71">
        <v>45542</v>
      </c>
      <c r="J49" s="71">
        <v>45543</v>
      </c>
      <c r="K49" s="71">
        <v>45544</v>
      </c>
      <c r="L49" s="71">
        <v>45545</v>
      </c>
      <c r="M49" s="71">
        <v>45546</v>
      </c>
      <c r="N49" s="71">
        <v>45547</v>
      </c>
      <c r="O49" s="71">
        <v>45548</v>
      </c>
      <c r="P49" s="71">
        <v>45549</v>
      </c>
      <c r="Q49" s="71">
        <v>45550</v>
      </c>
      <c r="R49" s="71">
        <v>45551</v>
      </c>
      <c r="S49" s="71">
        <v>45552</v>
      </c>
      <c r="T49" s="71">
        <v>45553</v>
      </c>
      <c r="U49" s="71">
        <v>45554</v>
      </c>
      <c r="V49" s="71">
        <v>45555</v>
      </c>
      <c r="W49" s="71">
        <v>45556</v>
      </c>
      <c r="X49" s="71">
        <v>45557</v>
      </c>
      <c r="Y49" s="71">
        <v>45558</v>
      </c>
      <c r="Z49" s="71">
        <v>45559</v>
      </c>
      <c r="AA49" s="71">
        <v>45560</v>
      </c>
      <c r="AB49" s="71">
        <v>45561</v>
      </c>
      <c r="AC49" s="71">
        <v>45562</v>
      </c>
      <c r="AD49" s="71">
        <v>45563</v>
      </c>
      <c r="AE49" s="71">
        <v>45564</v>
      </c>
      <c r="AF49" s="71">
        <v>45565</v>
      </c>
      <c r="AG49" s="71"/>
      <c r="AH49" s="72" t="s">
        <v>17</v>
      </c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 t="s">
        <v>36</v>
      </c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>
        <v>290</v>
      </c>
      <c r="X56" s="2"/>
      <c r="Y56" s="2"/>
      <c r="Z56" s="89"/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 t="s">
        <v>38</v>
      </c>
      <c r="AA59" s="69"/>
      <c r="AB59" s="69"/>
      <c r="AC59" s="69"/>
      <c r="AD59" s="69"/>
      <c r="AE59" s="69"/>
      <c r="AF59" s="69"/>
      <c r="AG59" s="69"/>
      <c r="AH59" s="118"/>
    </row>
    <row r="60" spans="2:34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>
        <v>3015</v>
      </c>
      <c r="AA68" s="4"/>
      <c r="AB68" s="4"/>
      <c r="AC68" s="4"/>
      <c r="AD68" s="4"/>
      <c r="AE68" s="4"/>
      <c r="AF68" s="86"/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73031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2499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24230</v>
      </c>
    </row>
    <row r="74" spans="2:34" ht="24" customHeight="1" x14ac:dyDescent="0.5">
      <c r="B74" s="19" t="s">
        <v>3</v>
      </c>
      <c r="C74" s="21">
        <f>SUM(C38:AG38)</f>
        <v>8286</v>
      </c>
    </row>
    <row r="75" spans="2:34" ht="24" customHeight="1" x14ac:dyDescent="0.5">
      <c r="B75" s="19" t="s">
        <v>4</v>
      </c>
      <c r="C75" s="21">
        <f>SUM(C37:AG37)</f>
        <v>59402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/>
      <c r="D81" s="2"/>
      <c r="E81" s="2"/>
      <c r="F81" s="2"/>
      <c r="G81" s="2">
        <v>80</v>
      </c>
      <c r="H81" s="2">
        <v>130</v>
      </c>
      <c r="I81" s="89">
        <v>1820</v>
      </c>
      <c r="J81" s="2">
        <v>60</v>
      </c>
      <c r="K81" s="2"/>
      <c r="L81" s="2"/>
      <c r="M81" s="2"/>
      <c r="N81" s="2"/>
      <c r="O81" s="2">
        <v>68</v>
      </c>
      <c r="P81" s="2">
        <v>68</v>
      </c>
      <c r="Q81" s="2">
        <v>825</v>
      </c>
      <c r="R81" s="2"/>
      <c r="S81" s="2"/>
      <c r="T81" s="2"/>
      <c r="U81" s="2">
        <v>405</v>
      </c>
      <c r="V81" s="2"/>
      <c r="W81" s="81">
        <v>41</v>
      </c>
      <c r="X81" s="2"/>
      <c r="Y81" s="2"/>
      <c r="Z81" s="89"/>
      <c r="AA81" s="2">
        <v>1635</v>
      </c>
      <c r="AB81" s="2">
        <v>44</v>
      </c>
      <c r="AC81" s="2"/>
      <c r="AD81" s="2">
        <v>130</v>
      </c>
      <c r="AE81" s="2">
        <v>90</v>
      </c>
      <c r="AF81" s="2"/>
      <c r="AG81" s="2"/>
    </row>
    <row r="82" spans="2:33" x14ac:dyDescent="0.5">
      <c r="B82" s="19" t="s">
        <v>35</v>
      </c>
      <c r="C82" s="2">
        <v>25</v>
      </c>
      <c r="D82" s="2">
        <v>2625</v>
      </c>
      <c r="E82" s="89">
        <v>1920</v>
      </c>
      <c r="F82" s="2"/>
      <c r="G82" s="2">
        <v>300</v>
      </c>
      <c r="H82" s="2">
        <v>50</v>
      </c>
      <c r="I82" s="2">
        <v>1000</v>
      </c>
      <c r="J82" s="2">
        <v>40</v>
      </c>
      <c r="K82" s="2"/>
      <c r="L82" s="2"/>
      <c r="M82" s="2"/>
      <c r="N82" s="2"/>
      <c r="O82" s="2">
        <v>175</v>
      </c>
      <c r="P82" s="2"/>
      <c r="Q82" s="2">
        <v>208</v>
      </c>
      <c r="R82" s="2"/>
      <c r="S82" s="2"/>
      <c r="T82" s="2"/>
      <c r="U82" s="2">
        <v>445</v>
      </c>
      <c r="V82" s="2"/>
      <c r="W82" s="2">
        <v>24</v>
      </c>
      <c r="X82" s="2"/>
      <c r="Y82" s="2"/>
      <c r="Z82" s="2"/>
      <c r="AA82" s="2"/>
      <c r="AB82" s="2">
        <v>170</v>
      </c>
      <c r="AC82" s="2"/>
      <c r="AD82" s="2">
        <v>364</v>
      </c>
      <c r="AE82" s="2"/>
      <c r="AF82" s="89"/>
      <c r="AG82" s="2"/>
    </row>
    <row r="83" spans="2:33" x14ac:dyDescent="0.5">
      <c r="B83" s="90" t="s">
        <v>41</v>
      </c>
      <c r="C83" s="94">
        <v>3281</v>
      </c>
      <c r="D83" s="94">
        <v>1234</v>
      </c>
      <c r="E83" s="91">
        <v>432</v>
      </c>
      <c r="F83" s="91"/>
      <c r="G83" s="91">
        <v>190</v>
      </c>
      <c r="H83" s="94">
        <v>2165</v>
      </c>
      <c r="I83" s="91">
        <v>3005</v>
      </c>
      <c r="J83" s="91">
        <v>1496</v>
      </c>
      <c r="K83" s="91"/>
      <c r="L83" s="91">
        <v>180</v>
      </c>
      <c r="M83" s="91">
        <v>1803</v>
      </c>
      <c r="N83" s="94">
        <v>1385</v>
      </c>
      <c r="O83" s="91">
        <v>475</v>
      </c>
      <c r="P83" s="94">
        <v>1512</v>
      </c>
      <c r="Q83" s="91">
        <v>641</v>
      </c>
      <c r="R83" s="91">
        <v>422</v>
      </c>
      <c r="S83" s="91"/>
      <c r="T83" s="91">
        <v>390</v>
      </c>
      <c r="U83" s="91">
        <v>427</v>
      </c>
      <c r="V83" s="94">
        <v>30610</v>
      </c>
      <c r="W83" s="91"/>
      <c r="X83" s="91">
        <v>3855</v>
      </c>
      <c r="Y83" s="91"/>
      <c r="Z83" s="94">
        <v>2201</v>
      </c>
      <c r="AA83" s="94">
        <v>4256</v>
      </c>
      <c r="AB83" s="91">
        <v>100</v>
      </c>
      <c r="AC83" s="94"/>
      <c r="AD83" s="94">
        <v>1744</v>
      </c>
      <c r="AE83" s="91">
        <v>800</v>
      </c>
      <c r="AF83" s="91"/>
      <c r="AG83" s="91"/>
    </row>
  </sheetData>
  <mergeCells count="8">
    <mergeCell ref="B59:B67"/>
    <mergeCell ref="AH59:AH67"/>
    <mergeCell ref="B2:AH3"/>
    <mergeCell ref="B6:B14"/>
    <mergeCell ref="AH6:AH14"/>
    <mergeCell ref="B50:B55"/>
    <mergeCell ref="AH50:AH55"/>
    <mergeCell ref="C58:AG58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2:AH83"/>
  <sheetViews>
    <sheetView topLeftCell="A2" workbookViewId="0">
      <pane xSplit="2" ySplit="3" topLeftCell="AA29" activePane="bottomRight" state="frozen"/>
      <selection activeCell="A2" sqref="A2"/>
      <selection pane="topRight" activeCell="C2" sqref="C2"/>
      <selection pane="bottomLeft" activeCell="A5" sqref="A5"/>
      <selection pane="bottomRight" activeCell="AD33" sqref="AD33"/>
    </sheetView>
  </sheetViews>
  <sheetFormatPr defaultColWidth="32.5703125" defaultRowHeight="21" x14ac:dyDescent="0.5"/>
  <cols>
    <col min="1" max="1" width="32.5703125" style="1"/>
    <col min="2" max="2" width="32.5703125" style="17"/>
    <col min="3" max="33" width="32.5703125" style="1" customWidth="1"/>
    <col min="34" max="34" width="32.5703125" style="3" customWidth="1"/>
    <col min="35" max="16384" width="32.5703125" style="1"/>
  </cols>
  <sheetData>
    <row r="2" spans="1:34" ht="18.75" customHeight="1" x14ac:dyDescent="0.5">
      <c r="B2" s="121" t="s">
        <v>13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</row>
    <row r="3" spans="1:34" ht="18.75" customHeight="1" x14ac:dyDescent="0.5">
      <c r="A3" s="2" t="s">
        <v>37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</row>
    <row r="4" spans="1:34" ht="21.75" thickBot="1" x14ac:dyDescent="0.55000000000000004">
      <c r="A4" s="82"/>
      <c r="B4" s="57"/>
      <c r="C4" s="27">
        <v>45658</v>
      </c>
      <c r="D4" s="27">
        <v>45659</v>
      </c>
      <c r="E4" s="27">
        <v>45660</v>
      </c>
      <c r="F4" s="27">
        <v>45661</v>
      </c>
      <c r="G4" s="27">
        <v>45662</v>
      </c>
      <c r="H4" s="27">
        <v>45663</v>
      </c>
      <c r="I4" s="27">
        <v>45664</v>
      </c>
      <c r="J4" s="27">
        <v>45665</v>
      </c>
      <c r="K4" s="27">
        <v>45666</v>
      </c>
      <c r="L4" s="27">
        <v>45667</v>
      </c>
      <c r="M4" s="27">
        <v>45668</v>
      </c>
      <c r="N4" s="27">
        <v>45669</v>
      </c>
      <c r="O4" s="27">
        <v>45670</v>
      </c>
      <c r="P4" s="27">
        <v>45671</v>
      </c>
      <c r="Q4" s="27">
        <v>45672</v>
      </c>
      <c r="R4" s="27">
        <v>45673</v>
      </c>
      <c r="S4" s="27">
        <v>45674</v>
      </c>
      <c r="T4" s="27">
        <v>45675</v>
      </c>
      <c r="U4" s="27">
        <v>45676</v>
      </c>
      <c r="V4" s="27">
        <v>45677</v>
      </c>
      <c r="W4" s="27">
        <v>45678</v>
      </c>
      <c r="X4" s="27">
        <v>45679</v>
      </c>
      <c r="Y4" s="27">
        <v>45680</v>
      </c>
      <c r="Z4" s="27">
        <v>45681</v>
      </c>
      <c r="AA4" s="27">
        <v>45682</v>
      </c>
      <c r="AB4" s="27">
        <v>45683</v>
      </c>
      <c r="AC4" s="27">
        <v>45684</v>
      </c>
      <c r="AD4" s="27">
        <v>45685</v>
      </c>
      <c r="AE4" s="27">
        <v>45686</v>
      </c>
      <c r="AF4" s="27">
        <v>45687</v>
      </c>
      <c r="AG4" s="27">
        <v>45688</v>
      </c>
      <c r="AH4" s="26" t="s">
        <v>12</v>
      </c>
    </row>
    <row r="5" spans="1:34" ht="21.75" thickBot="1" x14ac:dyDescent="0.55000000000000004">
      <c r="B5" s="58" t="s">
        <v>0</v>
      </c>
      <c r="C5" s="28">
        <f>C15</f>
        <v>4589</v>
      </c>
      <c r="D5" s="28">
        <f t="shared" ref="D5:AG5" si="0">D15</f>
        <v>749</v>
      </c>
      <c r="E5" s="28">
        <f t="shared" si="0"/>
        <v>5840</v>
      </c>
      <c r="F5" s="28">
        <f t="shared" si="0"/>
        <v>1100</v>
      </c>
      <c r="G5" s="28">
        <f t="shared" si="0"/>
        <v>17814</v>
      </c>
      <c r="H5" s="28">
        <f t="shared" si="0"/>
        <v>635</v>
      </c>
      <c r="I5" s="28">
        <f t="shared" si="0"/>
        <v>0</v>
      </c>
      <c r="J5" s="28">
        <f t="shared" si="0"/>
        <v>5555</v>
      </c>
      <c r="K5" s="28">
        <f t="shared" si="0"/>
        <v>100</v>
      </c>
      <c r="L5" s="28">
        <f t="shared" si="0"/>
        <v>1648</v>
      </c>
      <c r="M5" s="28">
        <f t="shared" si="0"/>
        <v>653</v>
      </c>
      <c r="N5" s="28">
        <f t="shared" si="0"/>
        <v>755</v>
      </c>
      <c r="O5" s="28">
        <f t="shared" si="0"/>
        <v>2974</v>
      </c>
      <c r="P5" s="28">
        <f t="shared" si="0"/>
        <v>0</v>
      </c>
      <c r="Q5" s="28">
        <f t="shared" si="0"/>
        <v>1533</v>
      </c>
      <c r="R5" s="28">
        <f t="shared" si="0"/>
        <v>319</v>
      </c>
      <c r="S5" s="28">
        <f t="shared" si="0"/>
        <v>2776</v>
      </c>
      <c r="T5" s="28">
        <f t="shared" si="0"/>
        <v>2241</v>
      </c>
      <c r="U5" s="28">
        <f t="shared" si="0"/>
        <v>1201</v>
      </c>
      <c r="V5" s="28">
        <f t="shared" si="0"/>
        <v>285</v>
      </c>
      <c r="W5" s="28">
        <f t="shared" si="0"/>
        <v>0</v>
      </c>
      <c r="X5" s="28">
        <f t="shared" si="0"/>
        <v>1073</v>
      </c>
      <c r="Y5" s="28">
        <f t="shared" si="0"/>
        <v>360</v>
      </c>
      <c r="Z5" s="28">
        <f t="shared" si="0"/>
        <v>1202</v>
      </c>
      <c r="AA5" s="28">
        <f t="shared" si="0"/>
        <v>0</v>
      </c>
      <c r="AB5" s="28">
        <f t="shared" si="0"/>
        <v>2087</v>
      </c>
      <c r="AC5" s="28">
        <f t="shared" si="0"/>
        <v>7649</v>
      </c>
      <c r="AD5" s="28">
        <f t="shared" si="0"/>
        <v>2112</v>
      </c>
      <c r="AE5" s="28">
        <f t="shared" si="0"/>
        <v>0</v>
      </c>
      <c r="AF5" s="28">
        <f t="shared" si="0"/>
        <v>0</v>
      </c>
      <c r="AG5" s="28">
        <f t="shared" si="0"/>
        <v>0</v>
      </c>
      <c r="AH5" s="29">
        <f>SUM(C5:AG5)</f>
        <v>65250</v>
      </c>
    </row>
    <row r="6" spans="1:34" x14ac:dyDescent="0.5">
      <c r="B6" s="122"/>
      <c r="C6" s="83" t="s">
        <v>369</v>
      </c>
      <c r="D6" s="83" t="s">
        <v>377</v>
      </c>
      <c r="E6" s="83" t="s">
        <v>378</v>
      </c>
      <c r="F6" s="83" t="s">
        <v>385</v>
      </c>
      <c r="G6" s="83" t="s">
        <v>387</v>
      </c>
      <c r="H6" s="83" t="s">
        <v>392</v>
      </c>
      <c r="I6" s="83"/>
      <c r="J6" s="83" t="s">
        <v>395</v>
      </c>
      <c r="K6" s="83" t="s">
        <v>399</v>
      </c>
      <c r="L6" s="83" t="s">
        <v>400</v>
      </c>
      <c r="M6" s="83" t="s">
        <v>405</v>
      </c>
      <c r="N6" s="83" t="s">
        <v>407</v>
      </c>
      <c r="O6" s="83" t="s">
        <v>409</v>
      </c>
      <c r="P6" s="83"/>
      <c r="Q6" s="83" t="s">
        <v>405</v>
      </c>
      <c r="R6" s="83" t="s">
        <v>417</v>
      </c>
      <c r="S6" s="83" t="s">
        <v>419</v>
      </c>
      <c r="T6" s="83" t="s">
        <v>51</v>
      </c>
      <c r="U6" s="83" t="s">
        <v>427</v>
      </c>
      <c r="V6" s="83" t="s">
        <v>431</v>
      </c>
      <c r="W6" s="83"/>
      <c r="X6" s="83" t="s">
        <v>434</v>
      </c>
      <c r="Y6" s="84" t="s">
        <v>436</v>
      </c>
      <c r="Z6" s="84" t="s">
        <v>437</v>
      </c>
      <c r="AA6" s="83"/>
      <c r="AB6" s="83" t="s">
        <v>439</v>
      </c>
      <c r="AC6" s="83" t="s">
        <v>441</v>
      </c>
      <c r="AD6" s="83"/>
      <c r="AE6" s="83"/>
      <c r="AF6" s="83"/>
      <c r="AG6" s="83"/>
      <c r="AH6" s="123"/>
    </row>
    <row r="7" spans="1:34" x14ac:dyDescent="0.5">
      <c r="B7" s="122"/>
      <c r="C7" s="84" t="s">
        <v>370</v>
      </c>
      <c r="D7" s="84" t="s">
        <v>374</v>
      </c>
      <c r="E7" s="84" t="s">
        <v>379</v>
      </c>
      <c r="F7" s="84" t="s">
        <v>386</v>
      </c>
      <c r="G7" s="84" t="s">
        <v>388</v>
      </c>
      <c r="H7" s="84" t="s">
        <v>393</v>
      </c>
      <c r="I7" s="84"/>
      <c r="J7" s="84" t="s">
        <v>396</v>
      </c>
      <c r="K7" s="84"/>
      <c r="L7" s="84" t="s">
        <v>401</v>
      </c>
      <c r="M7" s="84" t="s">
        <v>406</v>
      </c>
      <c r="N7" s="84" t="s">
        <v>408</v>
      </c>
      <c r="O7" s="84" t="s">
        <v>410</v>
      </c>
      <c r="P7" s="84"/>
      <c r="Q7" s="84" t="s">
        <v>415</v>
      </c>
      <c r="R7" s="84" t="s">
        <v>418</v>
      </c>
      <c r="S7" s="84" t="s">
        <v>420</v>
      </c>
      <c r="T7" s="84" t="s">
        <v>422</v>
      </c>
      <c r="U7" s="84" t="s">
        <v>428</v>
      </c>
      <c r="V7" s="84" t="s">
        <v>432</v>
      </c>
      <c r="W7" s="84"/>
      <c r="X7" s="84" t="s">
        <v>435</v>
      </c>
      <c r="Y7" s="84"/>
      <c r="Z7" s="84" t="s">
        <v>438</v>
      </c>
      <c r="AA7" s="84"/>
      <c r="AB7" s="84" t="s">
        <v>440</v>
      </c>
      <c r="AC7" s="84" t="s">
        <v>405</v>
      </c>
      <c r="AD7" s="84" t="s">
        <v>444</v>
      </c>
      <c r="AE7" s="84"/>
      <c r="AF7" s="84"/>
      <c r="AG7" s="84"/>
      <c r="AH7" s="123"/>
    </row>
    <row r="8" spans="1:34" x14ac:dyDescent="0.5">
      <c r="B8" s="122"/>
      <c r="C8" s="84" t="s">
        <v>371</v>
      </c>
      <c r="D8" s="84" t="s">
        <v>375</v>
      </c>
      <c r="E8" s="84" t="s">
        <v>380</v>
      </c>
      <c r="F8" s="84"/>
      <c r="G8" s="84" t="s">
        <v>389</v>
      </c>
      <c r="H8" s="84" t="s">
        <v>394</v>
      </c>
      <c r="I8" s="84"/>
      <c r="J8" s="84" t="s">
        <v>397</v>
      </c>
      <c r="K8" s="84"/>
      <c r="L8" s="84" t="s">
        <v>402</v>
      </c>
      <c r="M8" s="84"/>
      <c r="N8" s="84"/>
      <c r="O8" s="84" t="s">
        <v>411</v>
      </c>
      <c r="P8" s="84"/>
      <c r="Q8" s="84" t="s">
        <v>416</v>
      </c>
      <c r="R8" s="84"/>
      <c r="S8" s="84" t="s">
        <v>421</v>
      </c>
      <c r="T8" s="84" t="s">
        <v>423</v>
      </c>
      <c r="U8" s="84" t="s">
        <v>429</v>
      </c>
      <c r="V8" s="84" t="s">
        <v>433</v>
      </c>
      <c r="W8" s="84"/>
      <c r="X8" s="84"/>
      <c r="Y8" s="84"/>
      <c r="Z8" s="84"/>
      <c r="AA8" s="84"/>
      <c r="AB8" s="84"/>
      <c r="AC8" s="84" t="s">
        <v>442</v>
      </c>
      <c r="AD8" s="84" t="s">
        <v>445</v>
      </c>
      <c r="AE8" s="84"/>
      <c r="AF8" s="84"/>
      <c r="AG8" s="84"/>
      <c r="AH8" s="123"/>
    </row>
    <row r="9" spans="1:34" x14ac:dyDescent="0.5">
      <c r="B9" s="122"/>
      <c r="C9" s="84" t="s">
        <v>372</v>
      </c>
      <c r="D9" s="84" t="s">
        <v>376</v>
      </c>
      <c r="E9" s="84" t="s">
        <v>381</v>
      </c>
      <c r="F9" s="84"/>
      <c r="G9" s="84" t="s">
        <v>390</v>
      </c>
      <c r="H9" s="84"/>
      <c r="I9" s="84"/>
      <c r="J9" s="84" t="s">
        <v>398</v>
      </c>
      <c r="K9" s="84"/>
      <c r="L9" s="84" t="s">
        <v>403</v>
      </c>
      <c r="M9" s="84"/>
      <c r="N9" s="84"/>
      <c r="O9" s="84" t="s">
        <v>412</v>
      </c>
      <c r="P9" s="84"/>
      <c r="Q9" s="84"/>
      <c r="R9" s="84"/>
      <c r="S9" s="84"/>
      <c r="T9" s="84" t="s">
        <v>424</v>
      </c>
      <c r="U9" s="84" t="s">
        <v>430</v>
      </c>
      <c r="V9" s="84"/>
      <c r="W9" s="84"/>
      <c r="X9" s="84"/>
      <c r="Y9" s="84"/>
      <c r="Z9" s="84"/>
      <c r="AA9" s="84"/>
      <c r="AB9" s="84"/>
      <c r="AC9" s="84" t="s">
        <v>443</v>
      </c>
      <c r="AD9" s="84" t="s">
        <v>446</v>
      </c>
      <c r="AE9" s="84"/>
      <c r="AF9" s="84"/>
      <c r="AG9" s="84"/>
      <c r="AH9" s="123"/>
    </row>
    <row r="10" spans="1:34" x14ac:dyDescent="0.5">
      <c r="B10" s="122"/>
      <c r="C10" s="84" t="s">
        <v>373</v>
      </c>
      <c r="D10" s="84"/>
      <c r="E10" s="84" t="s">
        <v>382</v>
      </c>
      <c r="F10" s="84"/>
      <c r="G10" s="84" t="s">
        <v>391</v>
      </c>
      <c r="H10" s="84"/>
      <c r="I10" s="84"/>
      <c r="J10" s="84"/>
      <c r="K10" s="84"/>
      <c r="L10" s="84" t="s">
        <v>404</v>
      </c>
      <c r="M10" s="84"/>
      <c r="N10" s="84"/>
      <c r="O10" s="84" t="s">
        <v>413</v>
      </c>
      <c r="P10" s="84"/>
      <c r="Q10" s="84"/>
      <c r="R10" s="84"/>
      <c r="S10" s="84"/>
      <c r="T10" s="84" t="s">
        <v>425</v>
      </c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123"/>
    </row>
    <row r="11" spans="1:34" x14ac:dyDescent="0.5">
      <c r="B11" s="122"/>
      <c r="C11" s="84"/>
      <c r="D11" s="84"/>
      <c r="E11" s="84" t="s">
        <v>383</v>
      </c>
      <c r="F11" s="84"/>
      <c r="G11" s="84"/>
      <c r="H11" s="84"/>
      <c r="I11" s="84"/>
      <c r="J11" s="84"/>
      <c r="K11" s="84"/>
      <c r="L11" s="84"/>
      <c r="M11" s="84"/>
      <c r="N11" s="84"/>
      <c r="O11" s="84" t="s">
        <v>414</v>
      </c>
      <c r="P11" s="84"/>
      <c r="Q11" s="84"/>
      <c r="R11" s="84"/>
      <c r="S11" s="84"/>
      <c r="T11" s="84" t="s">
        <v>426</v>
      </c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123"/>
    </row>
    <row r="12" spans="1:34" x14ac:dyDescent="0.5">
      <c r="B12" s="122"/>
      <c r="C12" s="84"/>
      <c r="D12" s="84"/>
      <c r="E12" s="84" t="s">
        <v>384</v>
      </c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123"/>
    </row>
    <row r="13" spans="1:34" x14ac:dyDescent="0.5">
      <c r="B13" s="122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123"/>
    </row>
    <row r="14" spans="1:34" ht="21.75" thickBot="1" x14ac:dyDescent="0.55000000000000004">
      <c r="B14" s="122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123"/>
    </row>
    <row r="15" spans="1:34" ht="21.75" thickBot="1" x14ac:dyDescent="0.55000000000000004">
      <c r="B15" s="59" t="s">
        <v>1</v>
      </c>
      <c r="C15" s="31">
        <f>SUM(C16:C22)</f>
        <v>4589</v>
      </c>
      <c r="D15" s="31">
        <f t="shared" ref="D15:AG15" si="1">SUM(D16:D22)</f>
        <v>749</v>
      </c>
      <c r="E15" s="31">
        <f t="shared" si="1"/>
        <v>5840</v>
      </c>
      <c r="F15" s="31">
        <f t="shared" si="1"/>
        <v>1100</v>
      </c>
      <c r="G15" s="31">
        <f t="shared" si="1"/>
        <v>17814</v>
      </c>
      <c r="H15" s="31">
        <f t="shared" si="1"/>
        <v>635</v>
      </c>
      <c r="I15" s="31">
        <f t="shared" si="1"/>
        <v>0</v>
      </c>
      <c r="J15" s="31">
        <f t="shared" si="1"/>
        <v>5555</v>
      </c>
      <c r="K15" s="31">
        <f t="shared" si="1"/>
        <v>100</v>
      </c>
      <c r="L15" s="31">
        <f t="shared" si="1"/>
        <v>1648</v>
      </c>
      <c r="M15" s="31">
        <f t="shared" si="1"/>
        <v>653</v>
      </c>
      <c r="N15" s="31">
        <f t="shared" si="1"/>
        <v>755</v>
      </c>
      <c r="O15" s="31">
        <f t="shared" si="1"/>
        <v>2974</v>
      </c>
      <c r="P15" s="31">
        <f t="shared" si="1"/>
        <v>0</v>
      </c>
      <c r="Q15" s="31">
        <f t="shared" si="1"/>
        <v>1533</v>
      </c>
      <c r="R15" s="31">
        <f t="shared" si="1"/>
        <v>319</v>
      </c>
      <c r="S15" s="31">
        <f t="shared" si="1"/>
        <v>2776</v>
      </c>
      <c r="T15" s="31">
        <f t="shared" si="1"/>
        <v>2241</v>
      </c>
      <c r="U15" s="31">
        <f t="shared" si="1"/>
        <v>1201</v>
      </c>
      <c r="V15" s="31">
        <f t="shared" si="1"/>
        <v>285</v>
      </c>
      <c r="W15" s="31">
        <f t="shared" si="1"/>
        <v>0</v>
      </c>
      <c r="X15" s="31">
        <f t="shared" si="1"/>
        <v>1073</v>
      </c>
      <c r="Y15" s="31">
        <f t="shared" si="1"/>
        <v>360</v>
      </c>
      <c r="Z15" s="31">
        <f t="shared" si="1"/>
        <v>1202</v>
      </c>
      <c r="AA15" s="31">
        <f t="shared" si="1"/>
        <v>0</v>
      </c>
      <c r="AB15" s="31">
        <f t="shared" si="1"/>
        <v>2087</v>
      </c>
      <c r="AC15" s="31">
        <f t="shared" si="1"/>
        <v>7649</v>
      </c>
      <c r="AD15" s="31">
        <f t="shared" si="1"/>
        <v>2112</v>
      </c>
      <c r="AE15" s="31">
        <f t="shared" si="1"/>
        <v>0</v>
      </c>
      <c r="AF15" s="31">
        <f t="shared" si="1"/>
        <v>0</v>
      </c>
      <c r="AG15" s="31">
        <f t="shared" si="1"/>
        <v>0</v>
      </c>
      <c r="AH15" s="32">
        <f>SUM(C15:AG15)</f>
        <v>65250</v>
      </c>
    </row>
    <row r="16" spans="1:34" x14ac:dyDescent="0.5">
      <c r="B16" s="60" t="s">
        <v>18</v>
      </c>
      <c r="C16" s="30">
        <v>4405</v>
      </c>
      <c r="D16" s="30"/>
      <c r="E16" s="30"/>
      <c r="F16" s="30">
        <v>280</v>
      </c>
      <c r="G16" s="30">
        <v>4299</v>
      </c>
      <c r="H16" s="30"/>
      <c r="I16" s="30"/>
      <c r="J16" s="30">
        <v>75</v>
      </c>
      <c r="K16" s="30"/>
      <c r="L16" s="30"/>
      <c r="M16" s="30"/>
      <c r="N16" s="30">
        <v>480</v>
      </c>
      <c r="O16" s="30">
        <v>2255</v>
      </c>
      <c r="P16" s="30"/>
      <c r="Q16" s="30"/>
      <c r="R16" s="30">
        <v>319</v>
      </c>
      <c r="S16" s="30">
        <v>65</v>
      </c>
      <c r="T16" s="30">
        <v>1002</v>
      </c>
      <c r="U16" s="30">
        <v>561</v>
      </c>
      <c r="V16" s="30"/>
      <c r="W16" s="30"/>
      <c r="X16" s="30"/>
      <c r="Y16" s="30"/>
      <c r="Z16" s="30"/>
      <c r="AA16" s="30"/>
      <c r="AB16" s="30">
        <v>697</v>
      </c>
      <c r="AC16" s="30"/>
      <c r="AD16" s="30"/>
      <c r="AE16" s="30"/>
      <c r="AF16" s="30"/>
      <c r="AG16" s="30"/>
      <c r="AH16" s="10"/>
    </row>
    <row r="17" spans="2:34" x14ac:dyDescent="0.5">
      <c r="B17" s="61" t="s">
        <v>19</v>
      </c>
      <c r="C17" s="22"/>
      <c r="D17" s="22">
        <v>174</v>
      </c>
      <c r="E17" s="22"/>
      <c r="F17" s="22"/>
      <c r="G17" s="22"/>
      <c r="H17" s="22"/>
      <c r="I17" s="22"/>
      <c r="J17" s="22">
        <v>1962</v>
      </c>
      <c r="K17" s="22"/>
      <c r="L17" s="22"/>
      <c r="M17" s="22"/>
      <c r="N17" s="22">
        <v>275</v>
      </c>
      <c r="O17" s="22"/>
      <c r="P17" s="22"/>
      <c r="Q17" s="22"/>
      <c r="R17" s="22"/>
      <c r="S17" s="22"/>
      <c r="T17" s="22">
        <v>300</v>
      </c>
      <c r="U17" s="22"/>
      <c r="V17" s="22">
        <v>175</v>
      </c>
      <c r="W17" s="22"/>
      <c r="X17" s="22"/>
      <c r="Y17" s="22"/>
      <c r="Z17" s="22">
        <v>885</v>
      </c>
      <c r="AA17" s="22"/>
      <c r="AB17" s="22">
        <v>1390</v>
      </c>
      <c r="AC17" s="22">
        <v>1045</v>
      </c>
      <c r="AD17" s="22"/>
      <c r="AE17" s="22"/>
      <c r="AF17" s="22"/>
      <c r="AG17" s="22"/>
      <c r="AH17" s="10"/>
    </row>
    <row r="18" spans="2:34" x14ac:dyDescent="0.5">
      <c r="B18" s="61" t="s">
        <v>20</v>
      </c>
      <c r="C18" s="22">
        <v>184</v>
      </c>
      <c r="D18" s="22">
        <v>270</v>
      </c>
      <c r="E18" s="22">
        <v>3790</v>
      </c>
      <c r="F18" s="22">
        <v>820</v>
      </c>
      <c r="G18" s="22">
        <v>13265</v>
      </c>
      <c r="H18" s="22">
        <v>585</v>
      </c>
      <c r="I18" s="22"/>
      <c r="J18" s="22">
        <v>3273</v>
      </c>
      <c r="K18" s="22">
        <v>100</v>
      </c>
      <c r="L18" s="22">
        <v>1098</v>
      </c>
      <c r="M18" s="22">
        <v>360</v>
      </c>
      <c r="N18" s="22"/>
      <c r="O18" s="22">
        <v>80</v>
      </c>
      <c r="P18" s="22"/>
      <c r="Q18" s="22">
        <v>1360</v>
      </c>
      <c r="R18" s="22"/>
      <c r="S18" s="22">
        <v>900</v>
      </c>
      <c r="T18" s="22">
        <v>830</v>
      </c>
      <c r="U18" s="22">
        <v>540</v>
      </c>
      <c r="V18" s="22">
        <v>65</v>
      </c>
      <c r="W18" s="22"/>
      <c r="X18" s="22"/>
      <c r="Y18" s="22"/>
      <c r="Z18" s="22"/>
      <c r="AA18" s="22"/>
      <c r="AB18" s="22"/>
      <c r="AC18" s="22">
        <v>6604</v>
      </c>
      <c r="AD18" s="22">
        <v>2007</v>
      </c>
      <c r="AE18" s="22"/>
      <c r="AF18" s="22"/>
      <c r="AG18" s="22"/>
      <c r="AH18" s="10"/>
    </row>
    <row r="19" spans="2:34" x14ac:dyDescent="0.5">
      <c r="B19" s="61" t="s">
        <v>21</v>
      </c>
      <c r="C19" s="22"/>
      <c r="D19" s="22"/>
      <c r="E19" s="22"/>
      <c r="F19" s="22"/>
      <c r="G19" s="22"/>
      <c r="H19" s="22"/>
      <c r="I19" s="22"/>
      <c r="J19" s="22"/>
      <c r="K19" s="22"/>
      <c r="L19" s="22">
        <v>205</v>
      </c>
      <c r="M19" s="22">
        <v>293</v>
      </c>
      <c r="N19" s="22"/>
      <c r="O19" s="22"/>
      <c r="P19" s="22"/>
      <c r="Q19" s="22"/>
      <c r="R19" s="22"/>
      <c r="S19" s="22">
        <v>1811</v>
      </c>
      <c r="T19" s="22"/>
      <c r="U19" s="22">
        <v>100</v>
      </c>
      <c r="V19" s="22"/>
      <c r="W19" s="22"/>
      <c r="X19" s="22"/>
      <c r="Y19" s="22"/>
      <c r="Z19" s="22"/>
      <c r="AA19" s="22"/>
      <c r="AB19" s="22"/>
      <c r="AC19" s="22"/>
      <c r="AD19" s="22">
        <v>45</v>
      </c>
      <c r="AE19" s="22"/>
      <c r="AF19" s="22"/>
      <c r="AG19" s="22"/>
      <c r="AH19" s="10"/>
    </row>
    <row r="20" spans="2:34" x14ac:dyDescent="0.5">
      <c r="B20" s="61" t="s">
        <v>22</v>
      </c>
      <c r="C20" s="22"/>
      <c r="D20" s="22">
        <v>55</v>
      </c>
      <c r="E20" s="22">
        <v>1945</v>
      </c>
      <c r="F20" s="22"/>
      <c r="G20" s="22"/>
      <c r="H20" s="22"/>
      <c r="I20" s="22"/>
      <c r="J20" s="22"/>
      <c r="K20" s="22"/>
      <c r="L20" s="22">
        <v>345</v>
      </c>
      <c r="M20" s="22"/>
      <c r="N20" s="22"/>
      <c r="O20" s="22">
        <v>509</v>
      </c>
      <c r="P20" s="22"/>
      <c r="Q20" s="22">
        <v>173</v>
      </c>
      <c r="R20" s="22"/>
      <c r="S20" s="22"/>
      <c r="T20" s="22">
        <v>109</v>
      </c>
      <c r="U20" s="22"/>
      <c r="V20" s="22">
        <v>45</v>
      </c>
      <c r="W20" s="22"/>
      <c r="X20" s="22">
        <v>1000</v>
      </c>
      <c r="Y20" s="22"/>
      <c r="Z20" s="22"/>
      <c r="AA20" s="22"/>
      <c r="AB20" s="22"/>
      <c r="AC20" s="22"/>
      <c r="AD20" s="22"/>
      <c r="AE20" s="22"/>
      <c r="AF20" s="22"/>
      <c r="AG20" s="22"/>
      <c r="AH20" s="10"/>
    </row>
    <row r="21" spans="2:34" x14ac:dyDescent="0.5">
      <c r="B21" s="61" t="s">
        <v>32</v>
      </c>
      <c r="C21" s="22"/>
      <c r="D21" s="22">
        <v>250</v>
      </c>
      <c r="E21" s="22"/>
      <c r="F21" s="22"/>
      <c r="G21" s="22">
        <v>250</v>
      </c>
      <c r="H21" s="22">
        <v>50</v>
      </c>
      <c r="I21" s="22"/>
      <c r="J21" s="22">
        <v>245</v>
      </c>
      <c r="K21" s="22"/>
      <c r="L21" s="22"/>
      <c r="M21" s="22"/>
      <c r="N21" s="22"/>
      <c r="O21" s="22">
        <v>130</v>
      </c>
      <c r="P21" s="22"/>
      <c r="Q21" s="22"/>
      <c r="R21" s="22"/>
      <c r="S21" s="22"/>
      <c r="T21" s="22"/>
      <c r="U21" s="22"/>
      <c r="V21" s="22"/>
      <c r="W21" s="22"/>
      <c r="X21" s="22">
        <v>73</v>
      </c>
      <c r="Y21" s="22">
        <v>360</v>
      </c>
      <c r="Z21" s="22">
        <v>317</v>
      </c>
      <c r="AA21" s="22"/>
      <c r="AB21" s="22"/>
      <c r="AC21" s="22"/>
      <c r="AD21" s="22">
        <v>60</v>
      </c>
      <c r="AE21" s="22"/>
      <c r="AF21" s="22"/>
      <c r="AG21" s="22"/>
      <c r="AH21" s="10"/>
    </row>
    <row r="22" spans="2:34" ht="21.75" thickBot="1" x14ac:dyDescent="0.55000000000000004">
      <c r="B22" s="62" t="s">
        <v>33</v>
      </c>
      <c r="C22" s="33"/>
      <c r="D22" s="33"/>
      <c r="E22" s="33">
        <v>105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4"/>
    </row>
    <row r="23" spans="2:34" ht="21.75" thickBot="1" x14ac:dyDescent="0.55000000000000004">
      <c r="B23" s="63" t="s">
        <v>2</v>
      </c>
      <c r="C23" s="37">
        <f>SUM(C24:C36)</f>
        <v>145</v>
      </c>
      <c r="D23" s="37">
        <f t="shared" ref="D23:AG23" si="2">SUM(D24:D36)</f>
        <v>43</v>
      </c>
      <c r="E23" s="37">
        <f t="shared" si="2"/>
        <v>260</v>
      </c>
      <c r="F23" s="37">
        <f t="shared" si="2"/>
        <v>115</v>
      </c>
      <c r="G23" s="37">
        <f t="shared" si="2"/>
        <v>220</v>
      </c>
      <c r="H23" s="37">
        <f t="shared" si="2"/>
        <v>5</v>
      </c>
      <c r="I23" s="37">
        <f t="shared" si="2"/>
        <v>0</v>
      </c>
      <c r="J23" s="37">
        <f t="shared" si="2"/>
        <v>57</v>
      </c>
      <c r="K23" s="37">
        <f t="shared" si="2"/>
        <v>18</v>
      </c>
      <c r="L23" s="37">
        <f t="shared" si="2"/>
        <v>52</v>
      </c>
      <c r="M23" s="37">
        <f t="shared" si="2"/>
        <v>111</v>
      </c>
      <c r="N23" s="37">
        <f t="shared" si="2"/>
        <v>105</v>
      </c>
      <c r="O23" s="37">
        <f t="shared" si="2"/>
        <v>225</v>
      </c>
      <c r="P23" s="37">
        <f t="shared" si="2"/>
        <v>0</v>
      </c>
      <c r="Q23" s="37">
        <f t="shared" si="2"/>
        <v>50</v>
      </c>
      <c r="R23" s="37">
        <f t="shared" si="2"/>
        <v>117</v>
      </c>
      <c r="S23" s="37">
        <f t="shared" si="2"/>
        <v>95</v>
      </c>
      <c r="T23" s="37">
        <f t="shared" si="2"/>
        <v>110</v>
      </c>
      <c r="U23" s="37">
        <f t="shared" si="2"/>
        <v>0</v>
      </c>
      <c r="V23" s="37">
        <f t="shared" si="2"/>
        <v>50</v>
      </c>
      <c r="W23" s="37">
        <f t="shared" si="2"/>
        <v>0</v>
      </c>
      <c r="X23" s="37">
        <f t="shared" si="2"/>
        <v>254</v>
      </c>
      <c r="Y23" s="37">
        <f t="shared" si="2"/>
        <v>115</v>
      </c>
      <c r="Z23" s="37">
        <f t="shared" si="2"/>
        <v>217</v>
      </c>
      <c r="AA23" s="37">
        <f t="shared" si="2"/>
        <v>0</v>
      </c>
      <c r="AB23" s="37">
        <f t="shared" si="2"/>
        <v>40</v>
      </c>
      <c r="AC23" s="37">
        <f t="shared" si="2"/>
        <v>62</v>
      </c>
      <c r="AD23" s="37">
        <f t="shared" si="2"/>
        <v>168</v>
      </c>
      <c r="AE23" s="37">
        <f t="shared" si="2"/>
        <v>0</v>
      </c>
      <c r="AF23" s="37">
        <f t="shared" si="2"/>
        <v>0</v>
      </c>
      <c r="AG23" s="37">
        <f t="shared" si="2"/>
        <v>0</v>
      </c>
      <c r="AH23" s="38">
        <f>SUM(C23:AG23)</f>
        <v>2634</v>
      </c>
    </row>
    <row r="24" spans="2:34" x14ac:dyDescent="0.5">
      <c r="B24" s="35" t="s">
        <v>24</v>
      </c>
      <c r="C24" s="36"/>
      <c r="D24" s="36">
        <v>8</v>
      </c>
      <c r="E24" s="36">
        <v>5</v>
      </c>
      <c r="F24" s="36"/>
      <c r="G24" s="36"/>
      <c r="H24" s="36">
        <v>5</v>
      </c>
      <c r="I24" s="36"/>
      <c r="J24" s="36">
        <v>5</v>
      </c>
      <c r="K24" s="36"/>
      <c r="L24" s="36"/>
      <c r="M24" s="36">
        <v>5</v>
      </c>
      <c r="N24" s="36"/>
      <c r="O24" s="36">
        <v>5</v>
      </c>
      <c r="P24" s="36"/>
      <c r="Q24" s="36"/>
      <c r="R24" s="36"/>
      <c r="S24" s="36"/>
      <c r="T24" s="36">
        <v>5</v>
      </c>
      <c r="U24" s="36"/>
      <c r="V24" s="36"/>
      <c r="W24" s="36"/>
      <c r="X24" s="36">
        <v>5</v>
      </c>
      <c r="Y24" s="36"/>
      <c r="Z24" s="36">
        <v>5</v>
      </c>
      <c r="AA24" s="36"/>
      <c r="AB24" s="36"/>
      <c r="AC24" s="36"/>
      <c r="AD24" s="36"/>
      <c r="AE24" s="36"/>
      <c r="AF24" s="36"/>
      <c r="AG24" s="36"/>
      <c r="AH24" s="6"/>
    </row>
    <row r="25" spans="2:34" x14ac:dyDescent="0.5">
      <c r="B25" s="11" t="s">
        <v>25</v>
      </c>
      <c r="C25" s="8"/>
      <c r="D25" s="8"/>
      <c r="E25" s="8">
        <v>50</v>
      </c>
      <c r="F25" s="8">
        <v>50</v>
      </c>
      <c r="G25" s="8">
        <v>50</v>
      </c>
      <c r="H25" s="8"/>
      <c r="I25" s="8"/>
      <c r="J25" s="8"/>
      <c r="K25" s="8"/>
      <c r="L25" s="8"/>
      <c r="M25" s="8">
        <v>100</v>
      </c>
      <c r="N25" s="8"/>
      <c r="O25" s="8"/>
      <c r="P25" s="8"/>
      <c r="Q25" s="8">
        <v>50</v>
      </c>
      <c r="R25" s="8"/>
      <c r="S25" s="8">
        <v>40</v>
      </c>
      <c r="T25" s="8">
        <v>50</v>
      </c>
      <c r="U25" s="8"/>
      <c r="V25" s="8"/>
      <c r="W25" s="8"/>
      <c r="X25" s="8">
        <v>50</v>
      </c>
      <c r="Y25" s="8"/>
      <c r="Z25" s="8"/>
      <c r="AA25" s="8"/>
      <c r="AB25" s="8">
        <v>40</v>
      </c>
      <c r="AC25" s="8"/>
      <c r="AD25" s="8"/>
      <c r="AE25" s="8"/>
      <c r="AF25" s="8"/>
      <c r="AG25" s="8"/>
      <c r="AH25" s="6"/>
    </row>
    <row r="26" spans="2:34" x14ac:dyDescent="0.5">
      <c r="B26" s="11" t="s">
        <v>26</v>
      </c>
      <c r="C26" s="8">
        <v>145</v>
      </c>
      <c r="D26" s="8">
        <v>35</v>
      </c>
      <c r="E26" s="8">
        <v>70</v>
      </c>
      <c r="F26" s="8">
        <v>30</v>
      </c>
      <c r="G26" s="8">
        <v>65</v>
      </c>
      <c r="H26" s="8"/>
      <c r="I26" s="8"/>
      <c r="J26" s="8">
        <v>40</v>
      </c>
      <c r="K26" s="8"/>
      <c r="L26" s="8">
        <v>25</v>
      </c>
      <c r="M26" s="8"/>
      <c r="N26" s="8">
        <v>30</v>
      </c>
      <c r="O26" s="8">
        <v>35</v>
      </c>
      <c r="P26" s="8"/>
      <c r="Q26" s="8"/>
      <c r="R26" s="8"/>
      <c r="S26" s="8">
        <v>35</v>
      </c>
      <c r="T26" s="8"/>
      <c r="U26" s="8"/>
      <c r="V26" s="8"/>
      <c r="W26" s="8"/>
      <c r="X26" s="8"/>
      <c r="Y26" s="8"/>
      <c r="Z26" s="8"/>
      <c r="AA26" s="8"/>
      <c r="AB26" s="8"/>
      <c r="AC26" s="8">
        <v>5</v>
      </c>
      <c r="AD26" s="8"/>
      <c r="AE26" s="8"/>
      <c r="AF26" s="8"/>
      <c r="AG26" s="8"/>
      <c r="AH26" s="6"/>
    </row>
    <row r="27" spans="2:34" x14ac:dyDescent="0.5">
      <c r="B27" s="11" t="s">
        <v>23</v>
      </c>
      <c r="C27" s="8"/>
      <c r="D27" s="8"/>
      <c r="E27" s="8"/>
      <c r="F27" s="8">
        <v>10</v>
      </c>
      <c r="G27" s="8"/>
      <c r="H27" s="8"/>
      <c r="I27" s="8"/>
      <c r="J27" s="8"/>
      <c r="K27" s="8"/>
      <c r="L27" s="8"/>
      <c r="M27" s="8">
        <v>6</v>
      </c>
      <c r="N27" s="8"/>
      <c r="O27" s="8">
        <v>160</v>
      </c>
      <c r="P27" s="8"/>
      <c r="Q27" s="8"/>
      <c r="R27" s="8"/>
      <c r="S27" s="8"/>
      <c r="T27" s="8"/>
      <c r="U27" s="8"/>
      <c r="V27" s="8"/>
      <c r="W27" s="8"/>
      <c r="X27" s="8"/>
      <c r="Y27" s="8"/>
      <c r="Z27" s="8">
        <v>160</v>
      </c>
      <c r="AA27" s="8"/>
      <c r="AB27" s="8"/>
      <c r="AC27" s="8"/>
      <c r="AD27" s="8"/>
      <c r="AE27" s="8"/>
      <c r="AF27" s="8"/>
      <c r="AG27" s="8"/>
      <c r="AH27" s="6"/>
    </row>
    <row r="28" spans="2:34" x14ac:dyDescent="0.5">
      <c r="B28" s="11" t="s">
        <v>27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>
        <v>7</v>
      </c>
      <c r="AD28" s="8"/>
      <c r="AE28" s="8"/>
      <c r="AF28" s="8"/>
      <c r="AG28" s="8"/>
      <c r="AH28" s="6"/>
    </row>
    <row r="29" spans="2:34" x14ac:dyDescent="0.5">
      <c r="B29" s="11" t="s">
        <v>28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6"/>
    </row>
    <row r="30" spans="2:34" x14ac:dyDescent="0.5">
      <c r="B30" s="11" t="s">
        <v>34</v>
      </c>
      <c r="C30" s="8"/>
      <c r="D30" s="8"/>
      <c r="E30" s="8"/>
      <c r="F30" s="8">
        <v>25</v>
      </c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6"/>
    </row>
    <row r="31" spans="2:34" x14ac:dyDescent="0.5">
      <c r="B31" s="11" t="s">
        <v>40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6"/>
    </row>
    <row r="32" spans="2:34" x14ac:dyDescent="0.5">
      <c r="B32" s="11" t="s">
        <v>42</v>
      </c>
      <c r="C32" s="8"/>
      <c r="D32" s="8"/>
      <c r="E32" s="8"/>
      <c r="F32" s="8"/>
      <c r="G32" s="8">
        <v>55</v>
      </c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>
        <v>48</v>
      </c>
      <c r="AE32" s="8"/>
      <c r="AF32" s="8"/>
      <c r="AG32" s="8"/>
      <c r="AH32" s="6"/>
    </row>
    <row r="33" spans="2:34" x14ac:dyDescent="0.5">
      <c r="B33" s="11" t="s">
        <v>46</v>
      </c>
      <c r="C33" s="8"/>
      <c r="D33" s="8"/>
      <c r="E33" s="8"/>
      <c r="F33" s="8"/>
      <c r="G33" s="8">
        <v>5</v>
      </c>
      <c r="H33" s="8"/>
      <c r="I33" s="8"/>
      <c r="J33" s="8"/>
      <c r="K33" s="8"/>
      <c r="L33" s="8"/>
      <c r="M33" s="8"/>
      <c r="N33" s="8"/>
      <c r="O33" s="8"/>
      <c r="P33" s="8"/>
      <c r="Q33" s="8"/>
      <c r="R33" s="8">
        <v>40</v>
      </c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6"/>
    </row>
    <row r="34" spans="2:34" x14ac:dyDescent="0.5">
      <c r="B34" s="11" t="s">
        <v>47</v>
      </c>
      <c r="C34" s="8"/>
      <c r="D34" s="8"/>
      <c r="E34" s="8"/>
      <c r="F34" s="8"/>
      <c r="G34" s="8"/>
      <c r="H34" s="8"/>
      <c r="I34" s="8"/>
      <c r="J34" s="8"/>
      <c r="K34" s="8"/>
      <c r="L34" s="8">
        <v>25</v>
      </c>
      <c r="M34" s="8"/>
      <c r="N34" s="8"/>
      <c r="O34" s="8"/>
      <c r="P34" s="8"/>
      <c r="Q34" s="8"/>
      <c r="R34" s="8">
        <v>57</v>
      </c>
      <c r="S34" s="8"/>
      <c r="T34" s="8"/>
      <c r="U34" s="8"/>
      <c r="V34" s="8"/>
      <c r="W34" s="8"/>
      <c r="X34" s="8">
        <v>25</v>
      </c>
      <c r="Y34" s="8"/>
      <c r="Z34" s="8"/>
      <c r="AA34" s="8"/>
      <c r="AB34" s="8"/>
      <c r="AC34" s="8"/>
      <c r="AD34" s="8"/>
      <c r="AE34" s="8"/>
      <c r="AF34" s="8"/>
      <c r="AG34" s="8"/>
      <c r="AH34" s="6"/>
    </row>
    <row r="35" spans="2:34" x14ac:dyDescent="0.5">
      <c r="B35" s="11" t="s">
        <v>48</v>
      </c>
      <c r="C35" s="8"/>
      <c r="D35" s="8"/>
      <c r="E35" s="8">
        <v>135</v>
      </c>
      <c r="F35" s="8"/>
      <c r="G35" s="8">
        <v>45</v>
      </c>
      <c r="H35" s="8"/>
      <c r="I35" s="8"/>
      <c r="J35" s="8">
        <v>12</v>
      </c>
      <c r="K35" s="8">
        <v>18</v>
      </c>
      <c r="L35" s="8">
        <v>2</v>
      </c>
      <c r="M35" s="8"/>
      <c r="N35" s="8">
        <v>75</v>
      </c>
      <c r="O35" s="8">
        <v>25</v>
      </c>
      <c r="P35" s="8"/>
      <c r="Q35" s="8"/>
      <c r="R35" s="8">
        <v>20</v>
      </c>
      <c r="S35" s="8">
        <v>20</v>
      </c>
      <c r="T35" s="8">
        <v>55</v>
      </c>
      <c r="U35" s="8"/>
      <c r="V35" s="8">
        <v>50</v>
      </c>
      <c r="W35" s="8"/>
      <c r="X35" s="8">
        <v>174</v>
      </c>
      <c r="Y35" s="8">
        <v>115</v>
      </c>
      <c r="Z35" s="8">
        <v>52</v>
      </c>
      <c r="AA35" s="8"/>
      <c r="AB35" s="8"/>
      <c r="AC35" s="8">
        <v>50</v>
      </c>
      <c r="AD35" s="8">
        <v>120</v>
      </c>
      <c r="AE35" s="8"/>
      <c r="AF35" s="8"/>
      <c r="AG35" s="8"/>
      <c r="AH35" s="6"/>
    </row>
    <row r="36" spans="2:34" ht="21.75" thickBot="1" x14ac:dyDescent="0.55000000000000004">
      <c r="B36" s="39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1"/>
    </row>
    <row r="37" spans="2:34" ht="21.75" thickBot="1" x14ac:dyDescent="0.55000000000000004">
      <c r="B37" s="64" t="s">
        <v>4</v>
      </c>
      <c r="C37" s="44">
        <v>4232</v>
      </c>
      <c r="D37" s="87">
        <v>4544</v>
      </c>
      <c r="E37" s="87">
        <v>2452</v>
      </c>
      <c r="F37" s="87">
        <v>3730</v>
      </c>
      <c r="G37" s="87">
        <v>3515</v>
      </c>
      <c r="H37" s="87">
        <v>13636</v>
      </c>
      <c r="I37" s="45"/>
      <c r="J37" s="87">
        <v>8825</v>
      </c>
      <c r="K37" s="87">
        <v>1349</v>
      </c>
      <c r="L37" s="45">
        <v>272</v>
      </c>
      <c r="M37" s="87">
        <v>2056</v>
      </c>
      <c r="N37" s="87">
        <v>1193</v>
      </c>
      <c r="O37" s="87">
        <v>2124</v>
      </c>
      <c r="P37" s="45"/>
      <c r="Q37" s="87">
        <v>1413</v>
      </c>
      <c r="R37" s="87">
        <v>3181</v>
      </c>
      <c r="S37" s="87">
        <v>1877</v>
      </c>
      <c r="T37" s="87">
        <v>2060</v>
      </c>
      <c r="U37" s="45">
        <v>785</v>
      </c>
      <c r="V37" s="45">
        <v>424</v>
      </c>
      <c r="W37" s="44"/>
      <c r="X37" s="45">
        <v>768</v>
      </c>
      <c r="Y37" s="87">
        <v>1848</v>
      </c>
      <c r="Z37" s="87">
        <v>1092</v>
      </c>
      <c r="AA37" s="87"/>
      <c r="AB37" s="87">
        <v>882</v>
      </c>
      <c r="AC37" s="44">
        <v>1921</v>
      </c>
      <c r="AD37" s="44">
        <v>1521</v>
      </c>
      <c r="AE37" s="44"/>
      <c r="AF37" s="44"/>
      <c r="AG37" s="44"/>
      <c r="AH37" s="46">
        <f>SUM(C37:AG37)</f>
        <v>65700</v>
      </c>
    </row>
    <row r="38" spans="2:34" x14ac:dyDescent="0.5">
      <c r="B38" s="42" t="s">
        <v>3</v>
      </c>
      <c r="C38" s="43">
        <v>384</v>
      </c>
      <c r="D38" s="43">
        <v>79</v>
      </c>
      <c r="E38" s="43">
        <v>171</v>
      </c>
      <c r="F38" s="88">
        <v>3027</v>
      </c>
      <c r="G38" s="43">
        <v>0</v>
      </c>
      <c r="H38" s="43">
        <v>231</v>
      </c>
      <c r="I38" s="43"/>
      <c r="J38" s="88">
        <v>4206</v>
      </c>
      <c r="K38" s="43">
        <v>79</v>
      </c>
      <c r="L38" s="43"/>
      <c r="M38" s="43">
        <v>907</v>
      </c>
      <c r="N38" s="43">
        <v>116</v>
      </c>
      <c r="O38" s="43">
        <v>102</v>
      </c>
      <c r="P38" s="43"/>
      <c r="Q38" s="43">
        <v>208</v>
      </c>
      <c r="R38" s="88">
        <v>2087</v>
      </c>
      <c r="S38" s="43">
        <v>37</v>
      </c>
      <c r="T38" s="43">
        <v>256</v>
      </c>
      <c r="U38" s="43">
        <v>63</v>
      </c>
      <c r="V38" s="43">
        <v>240</v>
      </c>
      <c r="W38" s="43"/>
      <c r="X38" s="43">
        <v>638</v>
      </c>
      <c r="Y38" s="43">
        <v>10</v>
      </c>
      <c r="Z38" s="88">
        <v>25</v>
      </c>
      <c r="AA38" s="43"/>
      <c r="AB38" s="43">
        <v>126</v>
      </c>
      <c r="AC38" s="95">
        <v>88</v>
      </c>
      <c r="AD38" s="95">
        <v>17</v>
      </c>
      <c r="AE38" s="95"/>
      <c r="AF38" s="95"/>
      <c r="AG38" s="95"/>
      <c r="AH38" s="7"/>
    </row>
    <row r="39" spans="2:34" x14ac:dyDescent="0.5">
      <c r="B39" s="15" t="s">
        <v>10</v>
      </c>
      <c r="C39" s="9">
        <v>0</v>
      </c>
      <c r="D39" s="9">
        <v>41</v>
      </c>
      <c r="E39" s="9">
        <v>100</v>
      </c>
      <c r="F39" s="9">
        <v>126</v>
      </c>
      <c r="G39" s="9">
        <v>0</v>
      </c>
      <c r="H39" s="9">
        <v>263</v>
      </c>
      <c r="I39" s="9"/>
      <c r="J39" s="9">
        <v>1229</v>
      </c>
      <c r="K39" s="9">
        <v>23</v>
      </c>
      <c r="L39" s="9"/>
      <c r="M39" s="9">
        <v>312</v>
      </c>
      <c r="N39" s="9">
        <v>32</v>
      </c>
      <c r="O39" s="9">
        <v>20</v>
      </c>
      <c r="P39" s="9"/>
      <c r="Q39" s="9">
        <v>100</v>
      </c>
      <c r="R39" s="9">
        <v>1463</v>
      </c>
      <c r="S39" s="9"/>
      <c r="T39" s="9">
        <v>204</v>
      </c>
      <c r="U39" s="9">
        <v>15</v>
      </c>
      <c r="V39" s="9">
        <v>33</v>
      </c>
      <c r="W39" s="9"/>
      <c r="X39" s="9">
        <v>170</v>
      </c>
      <c r="Y39" s="9">
        <v>20</v>
      </c>
      <c r="Z39" s="9">
        <v>70</v>
      </c>
      <c r="AA39" s="9"/>
      <c r="AB39" s="9">
        <v>45</v>
      </c>
      <c r="AC39" s="9">
        <v>0</v>
      </c>
      <c r="AD39" s="9">
        <v>47</v>
      </c>
      <c r="AE39" s="9"/>
      <c r="AF39" s="9"/>
      <c r="AG39" s="9"/>
      <c r="AH39" s="14"/>
    </row>
    <row r="40" spans="2:34" x14ac:dyDescent="0.5">
      <c r="B40" s="15" t="s">
        <v>11</v>
      </c>
      <c r="C40" s="9">
        <v>9</v>
      </c>
      <c r="D40" s="9">
        <v>1</v>
      </c>
      <c r="E40" s="9">
        <v>4</v>
      </c>
      <c r="F40" s="9">
        <v>63</v>
      </c>
      <c r="G40" s="9">
        <v>0</v>
      </c>
      <c r="H40" s="9">
        <v>1</v>
      </c>
      <c r="I40" s="9"/>
      <c r="J40" s="9">
        <v>101</v>
      </c>
      <c r="K40" s="9">
        <v>2</v>
      </c>
      <c r="L40" s="9"/>
      <c r="M40" s="9">
        <v>17</v>
      </c>
      <c r="N40" s="9">
        <v>2</v>
      </c>
      <c r="O40" s="9">
        <v>2</v>
      </c>
      <c r="P40" s="9"/>
      <c r="Q40" s="9">
        <v>4</v>
      </c>
      <c r="R40" s="9">
        <v>31</v>
      </c>
      <c r="S40" s="9"/>
      <c r="T40" s="9">
        <v>3</v>
      </c>
      <c r="U40" s="9">
        <v>48</v>
      </c>
      <c r="V40" s="9">
        <v>5</v>
      </c>
      <c r="W40" s="9"/>
      <c r="X40" s="9">
        <v>14</v>
      </c>
      <c r="Y40" s="9"/>
      <c r="Z40" s="9"/>
      <c r="AA40" s="9"/>
      <c r="AB40" s="9">
        <v>2</v>
      </c>
      <c r="AC40" s="9">
        <v>1</v>
      </c>
      <c r="AD40" s="9"/>
      <c r="AE40" s="9"/>
      <c r="AF40" s="9"/>
      <c r="AG40" s="9"/>
      <c r="AH40" s="7"/>
    </row>
    <row r="41" spans="2:34" x14ac:dyDescent="0.5">
      <c r="B41" s="16" t="s">
        <v>5</v>
      </c>
      <c r="C41" s="97">
        <f>SUM(C37-C38)</f>
        <v>3848</v>
      </c>
      <c r="D41" s="97">
        <f t="shared" ref="D41:AG41" si="3">SUM(D37-D38)</f>
        <v>4465</v>
      </c>
      <c r="E41" s="97">
        <f t="shared" si="3"/>
        <v>2281</v>
      </c>
      <c r="F41" s="97">
        <f t="shared" si="3"/>
        <v>703</v>
      </c>
      <c r="G41" s="97">
        <f>SUM(G37-G38)</f>
        <v>3515</v>
      </c>
      <c r="H41" s="97">
        <f t="shared" si="3"/>
        <v>13405</v>
      </c>
      <c r="I41" s="97">
        <f t="shared" si="3"/>
        <v>0</v>
      </c>
      <c r="J41" s="97">
        <f t="shared" si="3"/>
        <v>4619</v>
      </c>
      <c r="K41" s="97">
        <f t="shared" si="3"/>
        <v>1270</v>
      </c>
      <c r="L41" s="97">
        <f t="shared" si="3"/>
        <v>272</v>
      </c>
      <c r="M41" s="97">
        <f t="shared" si="3"/>
        <v>1149</v>
      </c>
      <c r="N41" s="97">
        <f t="shared" si="3"/>
        <v>1077</v>
      </c>
      <c r="O41" s="97">
        <f t="shared" si="3"/>
        <v>2022</v>
      </c>
      <c r="P41" s="97">
        <f t="shared" si="3"/>
        <v>0</v>
      </c>
      <c r="Q41" s="97">
        <f t="shared" si="3"/>
        <v>1205</v>
      </c>
      <c r="R41" s="97">
        <f t="shared" si="3"/>
        <v>1094</v>
      </c>
      <c r="S41" s="97">
        <f t="shared" si="3"/>
        <v>1840</v>
      </c>
      <c r="T41" s="97">
        <f t="shared" si="3"/>
        <v>1804</v>
      </c>
      <c r="U41" s="97">
        <f t="shared" si="3"/>
        <v>722</v>
      </c>
      <c r="V41" s="97">
        <f t="shared" si="3"/>
        <v>184</v>
      </c>
      <c r="W41" s="97">
        <f t="shared" si="3"/>
        <v>0</v>
      </c>
      <c r="X41" s="97">
        <f t="shared" si="3"/>
        <v>130</v>
      </c>
      <c r="Y41" s="97">
        <f t="shared" si="3"/>
        <v>1838</v>
      </c>
      <c r="Z41" s="97">
        <f t="shared" si="3"/>
        <v>1067</v>
      </c>
      <c r="AA41" s="97">
        <f t="shared" si="3"/>
        <v>0</v>
      </c>
      <c r="AB41" s="97">
        <f t="shared" si="3"/>
        <v>756</v>
      </c>
      <c r="AC41" s="97">
        <f t="shared" si="3"/>
        <v>1833</v>
      </c>
      <c r="AD41" s="97">
        <f t="shared" si="3"/>
        <v>1504</v>
      </c>
      <c r="AE41" s="97">
        <f t="shared" si="3"/>
        <v>0</v>
      </c>
      <c r="AF41" s="97">
        <f t="shared" si="3"/>
        <v>0</v>
      </c>
      <c r="AG41" s="97">
        <f t="shared" si="3"/>
        <v>0</v>
      </c>
      <c r="AH41" s="13">
        <f>SUM(C41:AG41)</f>
        <v>52603</v>
      </c>
    </row>
    <row r="42" spans="2:34" x14ac:dyDescent="0.5">
      <c r="B42" s="16" t="s">
        <v>8</v>
      </c>
      <c r="C42" s="5"/>
      <c r="D42" s="5"/>
      <c r="E42" s="5">
        <v>213</v>
      </c>
      <c r="F42" s="5">
        <v>54</v>
      </c>
      <c r="G42" s="5">
        <v>0</v>
      </c>
      <c r="H42" s="5"/>
      <c r="I42" s="5"/>
      <c r="J42" s="5">
        <v>763</v>
      </c>
      <c r="K42" s="5"/>
      <c r="L42" s="5"/>
      <c r="M42" s="5">
        <v>147</v>
      </c>
      <c r="N42" s="5">
        <v>91</v>
      </c>
      <c r="O42" s="5">
        <v>147</v>
      </c>
      <c r="P42" s="5"/>
      <c r="Q42" s="5"/>
      <c r="R42" s="5">
        <v>460</v>
      </c>
      <c r="S42" s="5">
        <v>50</v>
      </c>
      <c r="T42" s="5">
        <v>82</v>
      </c>
      <c r="U42" s="5">
        <v>169</v>
      </c>
      <c r="V42" s="5">
        <v>41</v>
      </c>
      <c r="W42" s="5"/>
      <c r="X42" s="5">
        <v>173</v>
      </c>
      <c r="Y42" s="5">
        <v>10</v>
      </c>
      <c r="Z42" s="5"/>
      <c r="AA42" s="5"/>
      <c r="AB42" s="5">
        <v>100</v>
      </c>
      <c r="AC42" s="92">
        <v>715</v>
      </c>
      <c r="AD42" s="5"/>
      <c r="AE42" s="5"/>
      <c r="AF42" s="5"/>
      <c r="AG42" s="5"/>
      <c r="AH42" s="12"/>
    </row>
    <row r="43" spans="2:34" ht="18" customHeight="1" thickBot="1" x14ac:dyDescent="0.55000000000000004">
      <c r="B43" s="47" t="s">
        <v>7</v>
      </c>
      <c r="C43" s="48"/>
      <c r="D43" s="48"/>
      <c r="E43" s="48">
        <v>48</v>
      </c>
      <c r="F43" s="48">
        <v>11</v>
      </c>
      <c r="G43" s="48">
        <v>38</v>
      </c>
      <c r="H43" s="48"/>
      <c r="I43" s="48"/>
      <c r="J43" s="48">
        <v>81</v>
      </c>
      <c r="K43" s="48"/>
      <c r="L43" s="48">
        <v>1</v>
      </c>
      <c r="M43" s="48">
        <v>17</v>
      </c>
      <c r="N43" s="48">
        <v>18</v>
      </c>
      <c r="O43" s="48">
        <v>44</v>
      </c>
      <c r="P43" s="48"/>
      <c r="Q43" s="48"/>
      <c r="R43" s="48">
        <v>21</v>
      </c>
      <c r="S43" s="48">
        <v>5</v>
      </c>
      <c r="T43" s="48">
        <v>8</v>
      </c>
      <c r="U43" s="48">
        <v>13</v>
      </c>
      <c r="V43" s="48">
        <v>3</v>
      </c>
      <c r="W43" s="48"/>
      <c r="X43" s="48">
        <v>1</v>
      </c>
      <c r="Y43" s="48">
        <v>31</v>
      </c>
      <c r="Z43" s="48">
        <v>18</v>
      </c>
      <c r="AA43" s="48"/>
      <c r="AB43" s="93">
        <v>4</v>
      </c>
      <c r="AC43" s="48">
        <v>29</v>
      </c>
      <c r="AD43" s="48">
        <v>26</v>
      </c>
      <c r="AE43" s="48"/>
      <c r="AF43" s="48"/>
      <c r="AG43" s="48"/>
      <c r="AH43" s="96"/>
    </row>
    <row r="44" spans="2:34" ht="21.75" thickBot="1" x14ac:dyDescent="0.55000000000000004">
      <c r="B44" s="65" t="s">
        <v>9</v>
      </c>
      <c r="C44" s="49">
        <v>328</v>
      </c>
      <c r="D44" s="49"/>
      <c r="E44" s="49">
        <v>790</v>
      </c>
      <c r="F44" s="49">
        <v>74</v>
      </c>
      <c r="G44" s="49">
        <v>5543</v>
      </c>
      <c r="H44" s="49"/>
      <c r="I44" s="49"/>
      <c r="J44" s="49">
        <v>592</v>
      </c>
      <c r="K44" s="49"/>
      <c r="L44" s="49">
        <v>650</v>
      </c>
      <c r="M44" s="49"/>
      <c r="N44" s="49"/>
      <c r="O44" s="49">
        <v>0</v>
      </c>
      <c r="P44" s="49"/>
      <c r="Q44" s="49"/>
      <c r="R44" s="49"/>
      <c r="S44" s="49">
        <v>500</v>
      </c>
      <c r="T44" s="49">
        <v>1642</v>
      </c>
      <c r="U44" s="49">
        <v>100</v>
      </c>
      <c r="V44" s="49">
        <v>100</v>
      </c>
      <c r="W44" s="49"/>
      <c r="X44" s="49"/>
      <c r="Y44" s="49"/>
      <c r="Z44" s="49"/>
      <c r="AA44" s="49"/>
      <c r="AB44" s="49">
        <v>1545</v>
      </c>
      <c r="AC44" s="49">
        <v>800</v>
      </c>
      <c r="AD44" s="49"/>
      <c r="AE44" s="49"/>
      <c r="AF44" s="49"/>
      <c r="AG44" s="49"/>
      <c r="AH44" s="50"/>
    </row>
    <row r="45" spans="2:34" ht="21.75" thickBot="1" x14ac:dyDescent="0.55000000000000004">
      <c r="B45" s="66" t="s">
        <v>14</v>
      </c>
      <c r="C45" s="51">
        <f>C39+C42+C44</f>
        <v>328</v>
      </c>
      <c r="D45" s="51">
        <f t="shared" ref="D45:AD45" si="4">D39+D42+D44</f>
        <v>41</v>
      </c>
      <c r="E45" s="51">
        <f t="shared" si="4"/>
        <v>1103</v>
      </c>
      <c r="F45" s="51">
        <f t="shared" si="4"/>
        <v>254</v>
      </c>
      <c r="G45" s="51">
        <f t="shared" si="4"/>
        <v>5543</v>
      </c>
      <c r="H45" s="51">
        <f t="shared" si="4"/>
        <v>263</v>
      </c>
      <c r="I45" s="51">
        <f t="shared" si="4"/>
        <v>0</v>
      </c>
      <c r="J45" s="51">
        <f t="shared" si="4"/>
        <v>2584</v>
      </c>
      <c r="K45" s="51">
        <f t="shared" si="4"/>
        <v>23</v>
      </c>
      <c r="L45" s="51">
        <f t="shared" si="4"/>
        <v>650</v>
      </c>
      <c r="M45" s="51">
        <f t="shared" si="4"/>
        <v>459</v>
      </c>
      <c r="N45" s="51">
        <f t="shared" si="4"/>
        <v>123</v>
      </c>
      <c r="O45" s="51">
        <f t="shared" si="4"/>
        <v>167</v>
      </c>
      <c r="P45" s="51">
        <f t="shared" si="4"/>
        <v>0</v>
      </c>
      <c r="Q45" s="51">
        <f t="shared" si="4"/>
        <v>100</v>
      </c>
      <c r="R45" s="51">
        <f t="shared" si="4"/>
        <v>1923</v>
      </c>
      <c r="S45" s="51">
        <f t="shared" si="4"/>
        <v>550</v>
      </c>
      <c r="T45" s="51">
        <f t="shared" si="4"/>
        <v>1928</v>
      </c>
      <c r="U45" s="51">
        <f t="shared" si="4"/>
        <v>284</v>
      </c>
      <c r="V45" s="51">
        <f t="shared" si="4"/>
        <v>174</v>
      </c>
      <c r="W45" s="51">
        <f t="shared" si="4"/>
        <v>0</v>
      </c>
      <c r="X45" s="51">
        <f t="shared" si="4"/>
        <v>343</v>
      </c>
      <c r="Y45" s="51">
        <f t="shared" si="4"/>
        <v>30</v>
      </c>
      <c r="Z45" s="51">
        <f t="shared" si="4"/>
        <v>70</v>
      </c>
      <c r="AA45" s="51">
        <f t="shared" si="4"/>
        <v>0</v>
      </c>
      <c r="AB45" s="51">
        <f t="shared" si="4"/>
        <v>1690</v>
      </c>
      <c r="AC45" s="51">
        <f t="shared" si="4"/>
        <v>1515</v>
      </c>
      <c r="AD45" s="51">
        <f t="shared" si="4"/>
        <v>47</v>
      </c>
      <c r="AE45" s="51"/>
      <c r="AF45" s="51"/>
      <c r="AG45" s="51"/>
      <c r="AH45" s="52"/>
    </row>
    <row r="46" spans="2:34" ht="21.75" thickBot="1" x14ac:dyDescent="0.55000000000000004">
      <c r="B46" s="67" t="s">
        <v>6</v>
      </c>
      <c r="C46" s="98">
        <v>27189</v>
      </c>
      <c r="D46" s="98">
        <f>C46-D37</f>
        <v>22645</v>
      </c>
      <c r="E46" s="98">
        <f>D46-E37</f>
        <v>20193</v>
      </c>
      <c r="F46" s="98">
        <f>E46-F37</f>
        <v>16463</v>
      </c>
      <c r="G46" s="98">
        <f>F46-G37</f>
        <v>12948</v>
      </c>
      <c r="H46" s="98">
        <f>42948-H37</f>
        <v>29312</v>
      </c>
      <c r="I46" s="53"/>
      <c r="J46" s="102">
        <f>H46-J37</f>
        <v>20487</v>
      </c>
      <c r="K46" s="102">
        <f>J46-K37</f>
        <v>19138</v>
      </c>
      <c r="L46" s="102">
        <f>K46-L37</f>
        <v>18866</v>
      </c>
      <c r="M46" s="102">
        <f>L46-M37</f>
        <v>16810</v>
      </c>
      <c r="N46" s="102">
        <f>M46-N37</f>
        <v>15617</v>
      </c>
      <c r="O46" s="102">
        <f>N46-O37</f>
        <v>13493</v>
      </c>
      <c r="P46" s="53"/>
      <c r="Q46" s="102">
        <f>O46-Q37</f>
        <v>12080</v>
      </c>
      <c r="R46" s="102">
        <f>Q46-R37</f>
        <v>8899</v>
      </c>
      <c r="S46" s="102">
        <f>R46-S37</f>
        <v>7022</v>
      </c>
      <c r="T46" s="102">
        <f>S46-T37</f>
        <v>4962</v>
      </c>
      <c r="U46" s="102">
        <f>T46-U37</f>
        <v>4177</v>
      </c>
      <c r="V46" s="102">
        <f>U46-V37</f>
        <v>3753</v>
      </c>
      <c r="W46" s="77"/>
      <c r="X46" s="77">
        <f>V46-X37</f>
        <v>2985</v>
      </c>
      <c r="Y46" s="77">
        <f>X46-Y37</f>
        <v>1137</v>
      </c>
      <c r="Z46" s="77">
        <f>Y46-Z37</f>
        <v>45</v>
      </c>
      <c r="AA46" s="77"/>
      <c r="AB46" s="77">
        <f>30045-AB37</f>
        <v>29163</v>
      </c>
      <c r="AC46" s="77">
        <f>AB46-AC37</f>
        <v>27242</v>
      </c>
      <c r="AD46" s="77">
        <f>AC46-AD37</f>
        <v>25721</v>
      </c>
      <c r="AE46" s="77"/>
      <c r="AF46" s="77"/>
      <c r="AG46" s="53"/>
      <c r="AH46" s="54"/>
    </row>
    <row r="47" spans="2:34" ht="21.75" thickBot="1" x14ac:dyDescent="0.55000000000000004">
      <c r="B47" s="23" t="s">
        <v>31</v>
      </c>
      <c r="C47" s="55">
        <f t="shared" ref="C47:U47" si="5">(C38+C81+C82+C83)-C37</f>
        <v>761</v>
      </c>
      <c r="D47" s="55">
        <f t="shared" si="5"/>
        <v>2372</v>
      </c>
      <c r="E47" s="55">
        <f t="shared" si="5"/>
        <v>454</v>
      </c>
      <c r="F47" s="55">
        <f t="shared" si="5"/>
        <v>687</v>
      </c>
      <c r="G47" s="55">
        <f t="shared" si="5"/>
        <v>650</v>
      </c>
      <c r="H47" s="55">
        <f t="shared" si="5"/>
        <v>198</v>
      </c>
      <c r="I47" s="55">
        <f t="shared" si="5"/>
        <v>0</v>
      </c>
      <c r="J47" s="55">
        <f t="shared" si="5"/>
        <v>1369</v>
      </c>
      <c r="K47" s="55">
        <f t="shared" si="5"/>
        <v>3214</v>
      </c>
      <c r="L47" s="55">
        <f t="shared" si="5"/>
        <v>141</v>
      </c>
      <c r="M47" s="55">
        <f t="shared" si="5"/>
        <v>701</v>
      </c>
      <c r="N47" s="55">
        <f t="shared" si="5"/>
        <v>382</v>
      </c>
      <c r="O47" s="55">
        <f t="shared" si="5"/>
        <v>363</v>
      </c>
      <c r="P47" s="55">
        <f t="shared" si="5"/>
        <v>0</v>
      </c>
      <c r="Q47" s="55">
        <f t="shared" si="5"/>
        <v>234</v>
      </c>
      <c r="R47" s="55">
        <f t="shared" si="5"/>
        <v>1036</v>
      </c>
      <c r="S47" s="55">
        <f t="shared" si="5"/>
        <v>299</v>
      </c>
      <c r="T47" s="55">
        <f t="shared" si="5"/>
        <v>502</v>
      </c>
      <c r="U47" s="55">
        <f t="shared" si="5"/>
        <v>379</v>
      </c>
      <c r="V47" s="55">
        <f>(V38+V81+V82+V83)-V37</f>
        <v>101</v>
      </c>
      <c r="W47" s="55">
        <f t="shared" ref="W47:AD47" si="6">(W38+W81+W82+W83)-W37</f>
        <v>0</v>
      </c>
      <c r="X47" s="55">
        <f t="shared" si="6"/>
        <v>4</v>
      </c>
      <c r="Y47" s="55">
        <f t="shared" si="6"/>
        <v>742</v>
      </c>
      <c r="Z47" s="55">
        <f t="shared" si="6"/>
        <v>134</v>
      </c>
      <c r="AA47" s="55">
        <f t="shared" si="6"/>
        <v>0</v>
      </c>
      <c r="AB47" s="55">
        <f t="shared" si="6"/>
        <v>331</v>
      </c>
      <c r="AC47" s="55">
        <f t="shared" si="6"/>
        <v>858</v>
      </c>
      <c r="AD47" s="55">
        <f t="shared" si="6"/>
        <v>608</v>
      </c>
      <c r="AE47" s="55"/>
      <c r="AF47" s="55"/>
      <c r="AG47" s="55"/>
      <c r="AH47" s="56">
        <f>SUM(C47:AG47)</f>
        <v>16520</v>
      </c>
    </row>
    <row r="48" spans="2:34" ht="21.75" thickBot="1" x14ac:dyDescent="0.55000000000000004"/>
    <row r="49" spans="2:34" ht="21.75" thickBot="1" x14ac:dyDescent="0.55000000000000004">
      <c r="B49" s="70" t="s">
        <v>15</v>
      </c>
      <c r="C49" s="71">
        <v>45536</v>
      </c>
      <c r="D49" s="71">
        <v>45537</v>
      </c>
      <c r="E49" s="71">
        <v>45538</v>
      </c>
      <c r="F49" s="71">
        <v>45539</v>
      </c>
      <c r="G49" s="71">
        <v>45540</v>
      </c>
      <c r="H49" s="71">
        <v>45541</v>
      </c>
      <c r="I49" s="71">
        <v>45542</v>
      </c>
      <c r="J49" s="71">
        <v>45543</v>
      </c>
      <c r="K49" s="71">
        <v>45544</v>
      </c>
      <c r="L49" s="71">
        <v>45545</v>
      </c>
      <c r="M49" s="71">
        <v>45546</v>
      </c>
      <c r="N49" s="71">
        <v>45547</v>
      </c>
      <c r="O49" s="71">
        <v>45548</v>
      </c>
      <c r="P49" s="71">
        <v>45549</v>
      </c>
      <c r="Q49" s="71">
        <v>45550</v>
      </c>
      <c r="R49" s="71">
        <v>45551</v>
      </c>
      <c r="S49" s="71">
        <v>45552</v>
      </c>
      <c r="T49" s="71">
        <v>45553</v>
      </c>
      <c r="U49" s="71">
        <v>45554</v>
      </c>
      <c r="V49" s="71">
        <v>45555</v>
      </c>
      <c r="W49" s="71">
        <v>45556</v>
      </c>
      <c r="X49" s="71">
        <v>45557</v>
      </c>
      <c r="Y49" s="71">
        <v>45558</v>
      </c>
      <c r="Z49" s="71">
        <v>45559</v>
      </c>
      <c r="AA49" s="71">
        <v>45560</v>
      </c>
      <c r="AB49" s="71">
        <v>45561</v>
      </c>
      <c r="AC49" s="71">
        <v>45562</v>
      </c>
      <c r="AD49" s="71">
        <v>45563</v>
      </c>
      <c r="AE49" s="71">
        <v>45564</v>
      </c>
      <c r="AF49" s="71">
        <v>45565</v>
      </c>
      <c r="AG49" s="71"/>
      <c r="AH49" s="72" t="s">
        <v>17</v>
      </c>
    </row>
    <row r="50" spans="2:34" hidden="1" x14ac:dyDescent="0.5">
      <c r="B50" s="1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 t="s">
        <v>36</v>
      </c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118"/>
    </row>
    <row r="51" spans="2:34" hidden="1" x14ac:dyDescent="0.5">
      <c r="B51" s="11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119"/>
    </row>
    <row r="52" spans="2:34" hidden="1" x14ac:dyDescent="0.5">
      <c r="B52" s="117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119"/>
    </row>
    <row r="53" spans="2:34" hidden="1" x14ac:dyDescent="0.5">
      <c r="B53" s="117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119"/>
    </row>
    <row r="54" spans="2:34" hidden="1" x14ac:dyDescent="0.5">
      <c r="B54" s="117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119"/>
    </row>
    <row r="55" spans="2:34" hidden="1" x14ac:dyDescent="0.5">
      <c r="B55" s="117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120"/>
    </row>
    <row r="56" spans="2:34" hidden="1" x14ac:dyDescent="0.5">
      <c r="B56" s="19" t="s">
        <v>17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81">
        <v>290</v>
      </c>
      <c r="X56" s="2"/>
      <c r="Y56" s="2"/>
      <c r="Z56" s="89">
        <v>1263</v>
      </c>
      <c r="AA56" s="2"/>
      <c r="AB56" s="2"/>
      <c r="AC56" s="2"/>
      <c r="AD56" s="2"/>
      <c r="AE56" s="2"/>
      <c r="AF56" s="2"/>
      <c r="AG56" s="2"/>
      <c r="AH56" s="4"/>
    </row>
    <row r="57" spans="2:34" ht="21.75" thickBot="1" x14ac:dyDescent="0.55000000000000004"/>
    <row r="58" spans="2:34" ht="21.75" thickBot="1" x14ac:dyDescent="0.55000000000000004">
      <c r="B58" s="70" t="s">
        <v>16</v>
      </c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6"/>
      <c r="AH58" s="73" t="s">
        <v>17</v>
      </c>
    </row>
    <row r="59" spans="2:34" x14ac:dyDescent="0.5">
      <c r="B59" s="116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 t="s">
        <v>49</v>
      </c>
      <c r="AG59" s="69"/>
      <c r="AH59" s="118"/>
    </row>
    <row r="60" spans="2:34" x14ac:dyDescent="0.5">
      <c r="B60" s="117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119"/>
    </row>
    <row r="61" spans="2:34" x14ac:dyDescent="0.5">
      <c r="B61" s="117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119"/>
    </row>
    <row r="62" spans="2:34" x14ac:dyDescent="0.5">
      <c r="B62" s="117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119"/>
    </row>
    <row r="63" spans="2:34" x14ac:dyDescent="0.5">
      <c r="B63" s="117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119"/>
    </row>
    <row r="64" spans="2:34" x14ac:dyDescent="0.5">
      <c r="B64" s="117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119"/>
    </row>
    <row r="65" spans="2:34" x14ac:dyDescent="0.5">
      <c r="B65" s="117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119"/>
    </row>
    <row r="66" spans="2:34" x14ac:dyDescent="0.5">
      <c r="B66" s="117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119"/>
    </row>
    <row r="67" spans="2:34" x14ac:dyDescent="0.5">
      <c r="B67" s="117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120"/>
    </row>
    <row r="68" spans="2:34" x14ac:dyDescent="0.5">
      <c r="B68" s="19" t="s">
        <v>17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80"/>
      <c r="X68" s="4"/>
      <c r="Y68" s="4"/>
      <c r="Z68" s="86"/>
      <c r="AA68" s="4"/>
      <c r="AB68" s="4"/>
      <c r="AC68" s="4"/>
      <c r="AD68" s="4"/>
      <c r="AE68" s="4"/>
      <c r="AF68" s="86">
        <v>6510</v>
      </c>
      <c r="AG68" s="4"/>
      <c r="AH68" s="4"/>
    </row>
    <row r="69" spans="2:34" ht="21.75" thickBot="1" x14ac:dyDescent="0.55000000000000004"/>
    <row r="70" spans="2:34" ht="24" customHeight="1" thickBot="1" x14ac:dyDescent="0.55000000000000004">
      <c r="B70" s="76" t="s">
        <v>29</v>
      </c>
      <c r="C70" s="24"/>
    </row>
    <row r="71" spans="2:34" ht="24" customHeight="1" x14ac:dyDescent="0.5">
      <c r="B71" s="74" t="s">
        <v>30</v>
      </c>
      <c r="C71" s="75">
        <f>SUM(C5:AG5)</f>
        <v>65250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2:34" ht="24" customHeight="1" x14ac:dyDescent="0.5">
      <c r="B72" s="19" t="s">
        <v>2</v>
      </c>
      <c r="C72" s="20">
        <f>SUM(C23:AG23)</f>
        <v>2634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2:34" ht="24" customHeight="1" x14ac:dyDescent="0.5">
      <c r="B73" s="19" t="s">
        <v>31</v>
      </c>
      <c r="C73" s="21">
        <f>SUM(C47:AG47)</f>
        <v>16520</v>
      </c>
    </row>
    <row r="74" spans="2:34" ht="24" customHeight="1" x14ac:dyDescent="0.5">
      <c r="B74" s="19" t="s">
        <v>3</v>
      </c>
      <c r="C74" s="21">
        <f>SUM(C38:AG38)</f>
        <v>13097</v>
      </c>
    </row>
    <row r="75" spans="2:34" ht="24" customHeight="1" x14ac:dyDescent="0.5">
      <c r="B75" s="19" t="s">
        <v>4</v>
      </c>
      <c r="C75" s="21">
        <f>SUM(C37:AG37)</f>
        <v>65700</v>
      </c>
    </row>
    <row r="76" spans="2:34" ht="22.5" customHeight="1" thickBot="1" x14ac:dyDescent="0.55000000000000004">
      <c r="B76" s="68"/>
    </row>
    <row r="77" spans="2:34" ht="24.75" customHeight="1" thickBot="1" x14ac:dyDescent="0.55000000000000004">
      <c r="B77" s="23"/>
      <c r="C77" s="25"/>
    </row>
    <row r="81" spans="2:33" x14ac:dyDescent="0.5">
      <c r="B81" s="19" t="s">
        <v>15</v>
      </c>
      <c r="C81" s="2">
        <v>20</v>
      </c>
      <c r="D81" s="89">
        <v>4146</v>
      </c>
      <c r="E81" s="2"/>
      <c r="F81" s="2"/>
      <c r="G81" s="2"/>
      <c r="H81" s="2">
        <v>12350</v>
      </c>
      <c r="I81" s="2"/>
      <c r="J81" s="2">
        <v>165</v>
      </c>
      <c r="K81" s="2">
        <v>254</v>
      </c>
      <c r="L81" s="2"/>
      <c r="M81" s="2"/>
      <c r="N81" s="2">
        <v>345</v>
      </c>
      <c r="O81" s="2"/>
      <c r="P81" s="2"/>
      <c r="Q81" s="2">
        <v>386</v>
      </c>
      <c r="R81" s="2"/>
      <c r="S81" s="2"/>
      <c r="T81" s="2"/>
      <c r="U81" s="2"/>
      <c r="V81" s="2"/>
      <c r="W81" s="81"/>
      <c r="X81" s="2"/>
      <c r="Y81" s="2"/>
      <c r="Z81" s="89"/>
      <c r="AA81" s="2"/>
      <c r="AB81" s="2"/>
      <c r="AC81" s="2">
        <v>236</v>
      </c>
      <c r="AD81" s="2"/>
      <c r="AE81" s="2"/>
      <c r="AF81" s="2"/>
      <c r="AG81" s="2"/>
    </row>
    <row r="82" spans="2:33" x14ac:dyDescent="0.5">
      <c r="B82" s="19" t="s">
        <v>35</v>
      </c>
      <c r="C82" s="2"/>
      <c r="D82" s="2">
        <v>1945</v>
      </c>
      <c r="E82" s="2"/>
      <c r="F82" s="2">
        <v>290</v>
      </c>
      <c r="G82" s="2"/>
      <c r="H82" s="2">
        <v>618</v>
      </c>
      <c r="I82" s="2"/>
      <c r="J82" s="2">
        <v>268</v>
      </c>
      <c r="K82" s="89">
        <v>4020</v>
      </c>
      <c r="L82" s="2"/>
      <c r="M82" s="2">
        <v>600</v>
      </c>
      <c r="N82" s="2">
        <v>120</v>
      </c>
      <c r="O82" s="2"/>
      <c r="P82" s="2"/>
      <c r="Q82" s="2">
        <v>40</v>
      </c>
      <c r="R82" s="2">
        <v>80</v>
      </c>
      <c r="S82" s="2">
        <v>159</v>
      </c>
      <c r="T82" s="2"/>
      <c r="U82" s="2"/>
      <c r="V82" s="2"/>
      <c r="W82" s="2"/>
      <c r="X82" s="2">
        <v>61</v>
      </c>
      <c r="Y82" s="2">
        <v>105</v>
      </c>
      <c r="Z82" s="2"/>
      <c r="AA82" s="2"/>
      <c r="AB82" s="2"/>
      <c r="AC82" s="2"/>
      <c r="AD82" s="2"/>
      <c r="AE82" s="2"/>
      <c r="AF82" s="89"/>
      <c r="AG82" s="2"/>
    </row>
    <row r="83" spans="2:33" x14ac:dyDescent="0.5">
      <c r="B83" s="90" t="s">
        <v>41</v>
      </c>
      <c r="C83" s="91">
        <v>4589</v>
      </c>
      <c r="D83" s="91">
        <v>746</v>
      </c>
      <c r="E83" s="94">
        <v>2735</v>
      </c>
      <c r="F83" s="91">
        <v>1100</v>
      </c>
      <c r="G83" s="94">
        <v>4165</v>
      </c>
      <c r="H83" s="91">
        <v>635</v>
      </c>
      <c r="I83" s="91"/>
      <c r="J83" s="91">
        <v>5555</v>
      </c>
      <c r="K83" s="91">
        <v>210</v>
      </c>
      <c r="L83" s="91">
        <v>413</v>
      </c>
      <c r="M83" s="94">
        <v>1250</v>
      </c>
      <c r="N83" s="91">
        <v>994</v>
      </c>
      <c r="O83" s="94">
        <v>2385</v>
      </c>
      <c r="P83" s="91"/>
      <c r="Q83" s="94">
        <v>1013</v>
      </c>
      <c r="R83" s="94">
        <v>2050</v>
      </c>
      <c r="S83" s="94">
        <v>1980</v>
      </c>
      <c r="T83" s="94">
        <v>2306</v>
      </c>
      <c r="U83" s="91">
        <v>1101</v>
      </c>
      <c r="V83" s="91">
        <v>285</v>
      </c>
      <c r="W83" s="91"/>
      <c r="X83" s="91">
        <v>73</v>
      </c>
      <c r="Y83" s="94">
        <v>2475</v>
      </c>
      <c r="Z83" s="91">
        <v>1201</v>
      </c>
      <c r="AA83" s="91"/>
      <c r="AB83" s="94">
        <v>1087</v>
      </c>
      <c r="AC83" s="94">
        <v>2455</v>
      </c>
      <c r="AD83" s="91">
        <v>2112</v>
      </c>
      <c r="AE83" s="91"/>
      <c r="AF83" s="91"/>
      <c r="AG83" s="91"/>
    </row>
  </sheetData>
  <mergeCells count="8">
    <mergeCell ref="AH6:AH14"/>
    <mergeCell ref="AH50:AH55"/>
    <mergeCell ref="AH59:AH67"/>
    <mergeCell ref="B2:AH3"/>
    <mergeCell ref="C58:AG58"/>
    <mergeCell ref="B59:B67"/>
    <mergeCell ref="B50:B55"/>
    <mergeCell ref="B6:B1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JANUARI</vt:lpstr>
      <vt:lpstr>FEBRUARI</vt:lpstr>
      <vt:lpstr>MARET</vt:lpstr>
      <vt:lpstr>APRIL</vt:lpstr>
      <vt:lpstr>MEI</vt:lpstr>
      <vt:lpstr>JUNI</vt:lpstr>
      <vt:lpstr>JULI</vt:lpstr>
      <vt:lpstr>AGUSTUS</vt:lpstr>
      <vt:lpstr>SEPTEMBER</vt:lpstr>
      <vt:lpstr>OKTOBER</vt:lpstr>
      <vt:lpstr>NOVEMBER</vt:lpstr>
      <vt:lpstr>DESEMBER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Ryzen</dc:creator>
  <cp:lastModifiedBy>AMD</cp:lastModifiedBy>
  <cp:lastPrinted>2024-09-21T11:22:05Z</cp:lastPrinted>
  <dcterms:created xsi:type="dcterms:W3CDTF">2024-09-21T02:05:15Z</dcterms:created>
  <dcterms:modified xsi:type="dcterms:W3CDTF">2026-07-25T12:35:22Z</dcterms:modified>
</cp:coreProperties>
</file>